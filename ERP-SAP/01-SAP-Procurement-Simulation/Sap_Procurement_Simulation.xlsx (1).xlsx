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F27D12B9-EF82-41E9-8DC8-573CA30EE11A}" xr6:coauthVersionLast="47" xr6:coauthVersionMax="47" xr10:uidLastSave="{00000000-0000-0000-0000-000000000000}"/>
  <bookViews>
    <workbookView xWindow="240" yWindow="105" windowWidth="14805" windowHeight="8010" firstSheet="7" activeTab="6" xr2:uid="{00000000-000D-0000-FFFF-FFFF00000000}"/>
  </bookViews>
  <sheets>
    <sheet name="Material Master" sheetId="1" r:id="rId1"/>
    <sheet name="Vendor Master" sheetId="2" r:id="rId2"/>
    <sheet name="Purchase Reqisition" sheetId="3" r:id="rId3"/>
    <sheet name="Supplier Evaluation" sheetId="4" r:id="rId4"/>
    <sheet name="Purchase Orders" sheetId="5" r:id="rId5"/>
    <sheet name="Goods Receipts" sheetId="6" r:id="rId6"/>
    <sheet name="Invoices" sheetId="7" r:id="rId7"/>
    <sheet name="Three-Way Match" sheetId="8" r:id="rId8"/>
    <sheet name="Procurement Analysis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9" l="1"/>
  <c r="J3" i="8"/>
  <c r="J4" i="8"/>
  <c r="I3" i="8"/>
  <c r="L3" i="8" s="1"/>
  <c r="I4" i="8"/>
  <c r="L4" i="8" s="1"/>
  <c r="I2" i="8"/>
  <c r="L2" i="8" s="1"/>
  <c r="H3" i="8"/>
  <c r="H4" i="8"/>
  <c r="H2" i="8"/>
  <c r="H2" i="7"/>
  <c r="J2" i="8" s="1"/>
  <c r="B5" i="9" s="1"/>
  <c r="G3" i="8"/>
  <c r="G4" i="8"/>
  <c r="F3" i="8"/>
  <c r="F4" i="8"/>
  <c r="E3" i="8"/>
  <c r="E4" i="8"/>
  <c r="E2" i="8"/>
  <c r="F2" i="8"/>
  <c r="N2" i="8" l="1"/>
  <c r="O2" i="8" s="1"/>
  <c r="K2" i="8"/>
  <c r="M2" i="8" s="1"/>
  <c r="N4" i="8"/>
  <c r="O4" i="8" s="1"/>
  <c r="K4" i="8"/>
  <c r="M4" i="8" s="1"/>
  <c r="N3" i="8"/>
  <c r="O3" i="8" s="1"/>
  <c r="K3" i="8"/>
  <c r="M3" i="8" s="1"/>
  <c r="B4" i="9" l="1"/>
  <c r="B7" i="9" s="1"/>
  <c r="B3" i="9"/>
  <c r="B6" i="9"/>
</calcChain>
</file>

<file path=xl/sharedStrings.xml><?xml version="1.0" encoding="utf-8"?>
<sst xmlns="http://schemas.openxmlformats.org/spreadsheetml/2006/main" count="217" uniqueCount="108">
  <si>
    <t>Material Number</t>
  </si>
  <si>
    <t>Material Description</t>
  </si>
  <si>
    <t>Category</t>
  </si>
  <si>
    <t>Unit of Measure</t>
  </si>
  <si>
    <t>Standard Cost</t>
  </si>
  <si>
    <t>Reorder Point</t>
  </si>
  <si>
    <t>MAT-1001</t>
  </si>
  <si>
    <t>Industrial Steel Bolt</t>
  </si>
  <si>
    <t>Hardware</t>
  </si>
  <si>
    <t>EA</t>
  </si>
  <si>
    <t>MAT-1002</t>
  </si>
  <si>
    <t>Stainless Steel Washer</t>
  </si>
  <si>
    <t>MAT-1003</t>
  </si>
  <si>
    <t>Aluminum Housing</t>
  </si>
  <si>
    <t>Components</t>
  </si>
  <si>
    <t>MAT-1004</t>
  </si>
  <si>
    <t>Electric Motor 1HP</t>
  </si>
  <si>
    <t>Electrical</t>
  </si>
  <si>
    <t>MAT-1005</t>
  </si>
  <si>
    <t>Industrial Rubber Seal</t>
  </si>
  <si>
    <t>Vendor ID</t>
  </si>
  <si>
    <t>Vendor Name</t>
  </si>
  <si>
    <t>Unit Price Tier</t>
  </si>
  <si>
    <t>Lead Time (Days)</t>
  </si>
  <si>
    <t>On-Time Delivery %</t>
  </si>
  <si>
    <t>VEN-001</t>
  </si>
  <si>
    <t>Pacific Industrial Supply</t>
  </si>
  <si>
    <t>Standard</t>
  </si>
  <si>
    <t>VEN-002</t>
  </si>
  <si>
    <t>Midwest Components Co.</t>
  </si>
  <si>
    <t>Competitive</t>
  </si>
  <si>
    <t>VEN-003</t>
  </si>
  <si>
    <t>Apex Manufacturing Supply</t>
  </si>
  <si>
    <t>Premium</t>
  </si>
  <si>
    <t>VEN-004</t>
  </si>
  <si>
    <t>Great Lakes Industrial</t>
  </si>
  <si>
    <t>Low Cost</t>
  </si>
  <si>
    <t>VEN-005</t>
  </si>
  <si>
    <t>Northwest Rubber &amp; Plastics</t>
  </si>
  <si>
    <t>PR Number</t>
  </si>
  <si>
    <t>Request Date</t>
  </si>
  <si>
    <t>Department</t>
  </si>
  <si>
    <t>Quantity</t>
  </si>
  <si>
    <t>Required Date</t>
  </si>
  <si>
    <t>Requester</t>
  </si>
  <si>
    <t>Status</t>
  </si>
  <si>
    <t>PR-10001</t>
  </si>
  <si>
    <t>Production</t>
  </si>
  <si>
    <t>Production Manager</t>
  </si>
  <si>
    <t>Approved</t>
  </si>
  <si>
    <t>PR-10002</t>
  </si>
  <si>
    <t>Maintenance</t>
  </si>
  <si>
    <t>Maintenance Manager</t>
  </si>
  <si>
    <t>PR-10003</t>
  </si>
  <si>
    <t>Pending</t>
  </si>
  <si>
    <t>Unit Price</t>
  </si>
  <si>
    <t>Evaluation Result</t>
  </si>
  <si>
    <t>Recommended</t>
  </si>
  <si>
    <t>Alternate</t>
  </si>
  <si>
    <t>Not Recommended</t>
  </si>
  <si>
    <t>PO Number</t>
  </si>
  <si>
    <t>PO Date</t>
  </si>
  <si>
    <t>Total Value</t>
  </si>
  <si>
    <t>Expected Delivery</t>
  </si>
  <si>
    <t>PO-45001</t>
  </si>
  <si>
    <t>Open</t>
  </si>
  <si>
    <t>PO-45002</t>
  </si>
  <si>
    <t>PO-45003</t>
  </si>
  <si>
    <t>GR Number</t>
  </si>
  <si>
    <t>Receipt Date</t>
  </si>
  <si>
    <t>Quantity Ordered</t>
  </si>
  <si>
    <t>Quantity Received</t>
  </si>
  <si>
    <t>Quantity Accepted</t>
  </si>
  <si>
    <t>Receipt Status</t>
  </si>
  <si>
    <t>GR-60001</t>
  </si>
  <si>
    <t>Complete</t>
  </si>
  <si>
    <t>GR-60002</t>
  </si>
  <si>
    <t>GR-60003</t>
  </si>
  <si>
    <t>Quantity Discrepancy</t>
  </si>
  <si>
    <t>Invoice Number</t>
  </si>
  <si>
    <t>Invoice Date</t>
  </si>
  <si>
    <t>Quantity Invoiced</t>
  </si>
  <si>
    <t>Invoice Total</t>
  </si>
  <si>
    <t>INV-70001</t>
  </si>
  <si>
    <t>INV-70002</t>
  </si>
  <si>
    <t>INV-70003</t>
  </si>
  <si>
    <t>PO Quantity</t>
  </si>
  <si>
    <t>Received Quantity</t>
  </si>
  <si>
    <t>Accepted Quantity</t>
  </si>
  <si>
    <t>Invoiced Quantity</t>
  </si>
  <si>
    <t>Quantity Match</t>
  </si>
  <si>
    <t>Price Match</t>
  </si>
  <si>
    <t>Overall Status</t>
  </si>
  <si>
    <t>Quantity Variance</t>
  </si>
  <si>
    <t>Dollar Variance</t>
  </si>
  <si>
    <t>Procurement KPI</t>
  </si>
  <si>
    <t>Value</t>
  </si>
  <si>
    <t>Exception Detail</t>
  </si>
  <si>
    <t>Total Invoices</t>
  </si>
  <si>
    <t>Invoice</t>
  </si>
  <si>
    <t>Approved Invoices</t>
  </si>
  <si>
    <t>PO</t>
  </si>
  <si>
    <t>Exception / Hold Invoices</t>
  </si>
  <si>
    <t>Issue</t>
  </si>
  <si>
    <t>Invoice exceeds accepted quantity</t>
  </si>
  <si>
    <t>Total Invoiced Spend</t>
  </si>
  <si>
    <t>Total Dollar Variance</t>
  </si>
  <si>
    <t>Exception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</si>
</sst>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_([$$-409]* #,##0.00_);_([$$-409]* \(#,##0.00\);_([$$-409]* &quot;-&quot;??_);_(@_)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/>
    <xf numFmtId="9" fontId="0" fillId="0" borderId="0" xfId="0" applyNumberFormat="1"/>
    <xf numFmtId="0" fontId="1" fillId="2" borderId="0" xfId="0" applyFont="1" applyFill="1" applyAlignment="1">
      <alignment horizontal="center"/>
    </xf>
    <xf numFmtId="14" fontId="0" fillId="0" borderId="0" xfId="0" applyNumberFormat="1"/>
    <xf numFmtId="8" fontId="0" fillId="0" borderId="0" xfId="0" applyNumberFormat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_([$$-409]* #,##0.00_);_([$$-409]* \(#,##0.00\);_([$$-409]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0F3107-8CB0-47F2-ABB8-B0B73842D7CC}" name="tblMaterials" displayName="tblMaterials" ref="A1:F6" totalsRowShown="0" headerRowDxfId="24">
  <autoFilter ref="A1:F6" xr:uid="{050F3107-8CB0-47F2-ABB8-B0B73842D7CC}"/>
  <tableColumns count="6">
    <tableColumn id="1" xr3:uid="{B44684A8-2534-41DD-A43D-0E6C7EFC2149}" name="Material Number"/>
    <tableColumn id="2" xr3:uid="{7C56A317-022C-4B92-A6DC-E86EED294AEF}" name="Material Description"/>
    <tableColumn id="3" xr3:uid="{E428B11B-199E-444E-A92F-2C7C0B904586}" name="Category"/>
    <tableColumn id="4" xr3:uid="{4E6C4119-F628-48CB-9489-FA0CDB9EA6C6}" name="Unit of Measure"/>
    <tableColumn id="5" xr3:uid="{4BAF1CDD-8AE8-47CC-8110-393E1226A954}" name="Standard Cost" dataDxfId="23"/>
    <tableColumn id="6" xr3:uid="{7C933BC4-BEA2-43C1-80EB-1495C1EFFA5B}" name="Reorder Poi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C39002-D911-4FD9-9BFA-41F8ACEA670B}" name="tblVendors" displayName="tblVendors" ref="A1:F6" totalsRowShown="0" headerRowDxfId="22">
  <autoFilter ref="A1:F6" xr:uid="{A4C39002-D911-4FD9-9BFA-41F8ACEA670B}"/>
  <tableColumns count="6">
    <tableColumn id="1" xr3:uid="{96B3624F-405A-4BAF-AC07-DF0B6747680E}" name="Vendor ID"/>
    <tableColumn id="2" xr3:uid="{E71CC118-71FC-481A-9985-8BF40A77B63B}" name="Vendor Name"/>
    <tableColumn id="3" xr3:uid="{4823E285-43B0-45EE-A777-A9511239EDB4}" name="Category"/>
    <tableColumn id="4" xr3:uid="{A2264FD6-34F2-481A-8119-DFBC80FBD6BA}" name="Unit Price Tier"/>
    <tableColumn id="5" xr3:uid="{DBDD795C-E09A-49A4-B2D9-16896C11E001}" name="Lead Time (Days)"/>
    <tableColumn id="6" xr3:uid="{269F93B8-2964-4C14-8750-8E770D76AC3C}" name="On-Time Delivery %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155A6F-1846-464A-9D33-9C75E8F695DD}" name="tblPR" displayName="tblPR" ref="A1:H4" totalsRowShown="0" headerRowDxfId="20">
  <autoFilter ref="A1:H4" xr:uid="{3B155A6F-1846-464A-9D33-9C75E8F695DD}"/>
  <tableColumns count="8">
    <tableColumn id="1" xr3:uid="{96570D82-046A-47B2-95DE-A2BC2FF952E8}" name="PR Number"/>
    <tableColumn id="2" xr3:uid="{C1BA455C-2837-41E8-83B9-B7AC19C23054}" name="Request Date" dataDxfId="19"/>
    <tableColumn id="3" xr3:uid="{31FBD431-C410-42B7-966A-117009D8A56E}" name="Department"/>
    <tableColumn id="4" xr3:uid="{F9914C7E-9A48-424C-B40D-BA4F0300225E}" name="Material Number"/>
    <tableColumn id="5" xr3:uid="{57ADE67E-4A7F-4EBE-A446-0615A9F18FEF}" name="Quantity"/>
    <tableColumn id="6" xr3:uid="{F59D7045-9669-4CBC-B259-7040E2C1A586}" name="Required Date" dataDxfId="18"/>
    <tableColumn id="7" xr3:uid="{EFDE468C-C8DA-4414-B42A-A1822F11C59D}" name="Requester"/>
    <tableColumn id="8" xr3:uid="{0DD57AA6-3E2A-44BB-A260-DBCFAE05125D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930EFB-9BBE-45E3-A513-9BA82873DA65}" name="tblSupplierEvaluation" displayName="tblSupplierEvaluation" ref="A1:G7" totalsRowShown="0" headerRowDxfId="17">
  <autoFilter ref="A1:G7" xr:uid="{7E930EFB-9BBE-45E3-A513-9BA82873DA65}"/>
  <tableColumns count="7">
    <tableColumn id="1" xr3:uid="{6C7F8888-63C3-4631-94B4-A824DF962929}" name="PR Number"/>
    <tableColumn id="2" xr3:uid="{1A897D98-8FF3-45BC-BC99-E27861DD7289}" name="Material Number"/>
    <tableColumn id="3" xr3:uid="{3D5C3CA9-7B28-43D3-9F9B-AD600DC00736}" name="Vendor ID"/>
    <tableColumn id="4" xr3:uid="{CE2E6F48-AEC6-4EB1-8935-3710F8D057FA}" name="Unit Price"/>
    <tableColumn id="5" xr3:uid="{232EC334-CB91-499A-BFCE-27BF71775691}" name="Lead Time (Days)"/>
    <tableColumn id="6" xr3:uid="{8951AD87-3FC6-437F-9B7E-0FD5E73CAFAF}" name="On-Time Delivery %" dataDxfId="16"/>
    <tableColumn id="7" xr3:uid="{E5AC234B-160C-4231-9FC8-D081F9737633}" name="Evaluation Resul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616F16E-2353-4E44-87A2-BC532BF3D952}" name="tblPO" displayName="tblPO" ref="A1:J4" totalsRowShown="0" headerRowDxfId="15">
  <autoFilter ref="A1:J4" xr:uid="{F616F16E-2353-4E44-87A2-BC532BF3D952}"/>
  <tableColumns count="10">
    <tableColumn id="1" xr3:uid="{4168AD82-4925-4481-83C4-3805C12F7A05}" name="PO Number"/>
    <tableColumn id="2" xr3:uid="{F4A23E31-A01E-48E3-9DCF-D1A68F3A604C}" name="PR Number"/>
    <tableColumn id="3" xr3:uid="{74AF198F-4C12-409B-AFDE-861131305761}" name="PO Date" dataDxfId="14"/>
    <tableColumn id="4" xr3:uid="{C29ECA14-7DDD-49A0-B822-B1E6D5DE16E2}" name="Vendor ID"/>
    <tableColumn id="5" xr3:uid="{4116D50E-C66B-4BB1-A9EE-88BB44B4E696}" name="Material Number"/>
    <tableColumn id="6" xr3:uid="{53021EE8-1184-4BF4-8BCC-5A6A92302DBF}" name="Quantity"/>
    <tableColumn id="7" xr3:uid="{78497848-1F95-4A5C-B259-719A76BABFC5}" name="Unit Price" dataDxfId="13"/>
    <tableColumn id="8" xr3:uid="{8BFBE9A7-C14F-468C-A984-AFD12DB96C1B}" name="Total Value" dataDxfId="12"/>
    <tableColumn id="9" xr3:uid="{ECE6B434-03F8-41A4-9F43-E14850D419B1}" name="Expected Delivery" dataDxfId="11"/>
    <tableColumn id="10" xr3:uid="{F6B175AA-AEAD-49A0-BF63-AEA5B5C7DC00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0CC326A-F79A-4993-A335-FF2BC88EDF2B}" name="tblGoodsReceipts" displayName="tblGoodsReceipts" ref="A1:H4" totalsRowShown="0" headerRowDxfId="10">
  <autoFilter ref="A1:H4" xr:uid="{80CC326A-F79A-4993-A335-FF2BC88EDF2B}"/>
  <tableColumns count="8">
    <tableColumn id="1" xr3:uid="{57947926-7A3C-45EB-8530-95F4391B022E}" name="GR Number"/>
    <tableColumn id="2" xr3:uid="{A68E0A76-8068-466A-892E-CAD8E1B65579}" name="PO Number"/>
    <tableColumn id="3" xr3:uid="{4E418AE1-EE6D-49CC-8B5A-CA3C3F950D6D}" name="Receipt Date" dataDxfId="9"/>
    <tableColumn id="4" xr3:uid="{70344084-05CC-41F6-B39C-2C167AB8773E}" name="Material Number"/>
    <tableColumn id="5" xr3:uid="{4E4D95BE-1882-404D-998B-DDB7B6C6801A}" name="Quantity Ordered"/>
    <tableColumn id="6" xr3:uid="{AECC7513-0035-4982-9A2D-8AE68EE31541}" name="Quantity Received"/>
    <tableColumn id="7" xr3:uid="{B0CF69B0-AC00-4E88-AFA2-A11E9D7C45E3}" name="Quantity Accepted"/>
    <tableColumn id="8" xr3:uid="{A003E024-88BF-404D-99CA-49570DE10FFB}" name="Receipt 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6B409B8-CDFC-4CD2-B7FB-BEEA9BB3253C}" name="tblInvoices" displayName="tblInvoices" ref="A1:H4" totalsRowShown="0" headerRowDxfId="8">
  <autoFilter ref="A1:H4" xr:uid="{16B409B8-CDFC-4CD2-B7FB-BEEA9BB3253C}"/>
  <tableColumns count="8">
    <tableColumn id="1" xr3:uid="{52993586-0C4C-4F33-86BC-79E7D92312C8}" name="Invoice Number"/>
    <tableColumn id="2" xr3:uid="{BDD3A54A-D946-422F-8477-487B234720DE}" name="PO Number"/>
    <tableColumn id="3" xr3:uid="{50BFD050-46B9-4F77-B3AD-76D8AD388B2C}" name="Invoice Date" dataDxfId="7"/>
    <tableColumn id="4" xr3:uid="{610E133D-72EA-4F26-9974-99412F55614E}" name="Vendor ID"/>
    <tableColumn id="5" xr3:uid="{94E94076-3BA6-47CE-81F7-535743B85F0F}" name="Material Number"/>
    <tableColumn id="6" xr3:uid="{79F01248-C934-49FD-BE76-D689F851F6DD}" name="Quantity Invoiced"/>
    <tableColumn id="7" xr3:uid="{D3F20DCC-7030-491A-9A41-3A92246B4B59}" name="Unit Price" dataDxfId="6"/>
    <tableColumn id="8" xr3:uid="{7F629AD4-EB17-4BDD-A5C3-2BE38EFB1C0D}" name="Invoice Total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B10" sqref="B10"/>
    </sheetView>
  </sheetViews>
  <sheetFormatPr defaultRowHeight="15"/>
  <cols>
    <col min="1" max="1" width="20.7109375" customWidth="1"/>
    <col min="2" max="2" width="23.5703125" customWidth="1"/>
    <col min="3" max="3" width="13" customWidth="1"/>
    <col min="4" max="4" width="22.140625" customWidth="1"/>
    <col min="5" max="5" width="20.42578125" customWidth="1"/>
    <col min="6" max="6" width="20.5703125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1">
        <v>0.42</v>
      </c>
      <c r="F2">
        <v>500</v>
      </c>
    </row>
    <row r="3" spans="1:6">
      <c r="A3" t="s">
        <v>10</v>
      </c>
      <c r="B3" t="s">
        <v>11</v>
      </c>
      <c r="C3" t="s">
        <v>8</v>
      </c>
      <c r="D3" t="s">
        <v>9</v>
      </c>
      <c r="E3" s="1">
        <v>0.18</v>
      </c>
      <c r="F3">
        <v>750</v>
      </c>
    </row>
    <row r="4" spans="1:6">
      <c r="A4" t="s">
        <v>12</v>
      </c>
      <c r="B4" t="s">
        <v>13</v>
      </c>
      <c r="C4" t="s">
        <v>14</v>
      </c>
      <c r="D4" t="s">
        <v>9</v>
      </c>
      <c r="E4" s="1">
        <v>14.5</v>
      </c>
      <c r="F4">
        <v>100</v>
      </c>
    </row>
    <row r="5" spans="1:6">
      <c r="A5" t="s">
        <v>15</v>
      </c>
      <c r="B5" t="s">
        <v>16</v>
      </c>
      <c r="C5" t="s">
        <v>17</v>
      </c>
      <c r="D5" t="s">
        <v>9</v>
      </c>
      <c r="E5" s="1">
        <v>86</v>
      </c>
      <c r="F5">
        <v>25</v>
      </c>
    </row>
    <row r="6" spans="1:6">
      <c r="A6" t="s">
        <v>18</v>
      </c>
      <c r="B6" t="s">
        <v>19</v>
      </c>
      <c r="C6" t="s">
        <v>14</v>
      </c>
      <c r="D6" t="s">
        <v>9</v>
      </c>
      <c r="E6" s="1">
        <v>2.75</v>
      </c>
      <c r="F6">
        <v>200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5E7C-DEF4-441B-9D5A-0541A33B94E7}">
  <dimension ref="A1:F6"/>
  <sheetViews>
    <sheetView workbookViewId="0">
      <selection activeCell="I10" sqref="I10"/>
    </sheetView>
  </sheetViews>
  <sheetFormatPr defaultRowHeight="15"/>
  <cols>
    <col min="1" max="1" width="12.42578125" bestFit="1" customWidth="1"/>
    <col min="2" max="2" width="26.7109375" bestFit="1" customWidth="1"/>
    <col min="3" max="3" width="12.28515625" bestFit="1" customWidth="1"/>
    <col min="4" max="4" width="16.140625" bestFit="1" customWidth="1"/>
    <col min="5" max="5" width="18.7109375" bestFit="1" customWidth="1"/>
    <col min="6" max="6" width="21.28515625" bestFit="1" customWidth="1"/>
  </cols>
  <sheetData>
    <row r="1" spans="1:6">
      <c r="A1" s="2" t="s">
        <v>20</v>
      </c>
      <c r="B1" s="2" t="s">
        <v>21</v>
      </c>
      <c r="C1" s="2" t="s">
        <v>2</v>
      </c>
      <c r="D1" s="2" t="s">
        <v>22</v>
      </c>
      <c r="E1" s="2" t="s">
        <v>23</v>
      </c>
      <c r="F1" s="2" t="s">
        <v>24</v>
      </c>
    </row>
    <row r="2" spans="1:6">
      <c r="A2" t="s">
        <v>25</v>
      </c>
      <c r="B2" t="s">
        <v>26</v>
      </c>
      <c r="C2" t="s">
        <v>8</v>
      </c>
      <c r="D2" t="s">
        <v>27</v>
      </c>
      <c r="E2">
        <v>8</v>
      </c>
      <c r="F2" s="3">
        <v>0.96</v>
      </c>
    </row>
    <row r="3" spans="1:6">
      <c r="A3" t="s">
        <v>28</v>
      </c>
      <c r="B3" t="s">
        <v>29</v>
      </c>
      <c r="C3" t="s">
        <v>14</v>
      </c>
      <c r="D3" t="s">
        <v>30</v>
      </c>
      <c r="E3">
        <v>12</v>
      </c>
      <c r="F3" s="3">
        <v>0.94</v>
      </c>
    </row>
    <row r="4" spans="1:6">
      <c r="A4" t="s">
        <v>31</v>
      </c>
      <c r="B4" t="s">
        <v>32</v>
      </c>
      <c r="C4" t="s">
        <v>17</v>
      </c>
      <c r="D4" t="s">
        <v>33</v>
      </c>
      <c r="E4">
        <v>5</v>
      </c>
      <c r="F4" s="3">
        <v>0.99</v>
      </c>
    </row>
    <row r="5" spans="1:6">
      <c r="A5" t="s">
        <v>34</v>
      </c>
      <c r="B5" t="s">
        <v>35</v>
      </c>
      <c r="C5" t="s">
        <v>8</v>
      </c>
      <c r="D5" t="s">
        <v>36</v>
      </c>
      <c r="E5">
        <v>15</v>
      </c>
      <c r="F5" s="3">
        <v>0.91</v>
      </c>
    </row>
    <row r="6" spans="1:6">
      <c r="A6" t="s">
        <v>37</v>
      </c>
      <c r="B6" t="s">
        <v>38</v>
      </c>
      <c r="C6" t="s">
        <v>14</v>
      </c>
      <c r="D6" t="s">
        <v>27</v>
      </c>
      <c r="E6">
        <v>7</v>
      </c>
      <c r="F6" s="3">
        <v>0.97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A614F-C564-4903-A32E-2C16A09EA339}">
  <dimension ref="A1:H4"/>
  <sheetViews>
    <sheetView workbookViewId="0">
      <selection activeCell="K10" sqref="K10"/>
    </sheetView>
  </sheetViews>
  <sheetFormatPr defaultRowHeight="15"/>
  <cols>
    <col min="1" max="1" width="13.5703125" bestFit="1" customWidth="1"/>
    <col min="2" max="2" width="15.5703125" bestFit="1" customWidth="1"/>
    <col min="3" max="3" width="15.140625" customWidth="1"/>
    <col min="4" max="4" width="19" bestFit="1" customWidth="1"/>
    <col min="5" max="5" width="11.28515625" bestFit="1" customWidth="1"/>
    <col min="6" max="6" width="16.42578125" bestFit="1" customWidth="1"/>
    <col min="7" max="7" width="21.28515625" bestFit="1" customWidth="1"/>
    <col min="8" max="8" width="9.7109375" customWidth="1"/>
  </cols>
  <sheetData>
    <row r="1" spans="1:8">
      <c r="A1" s="2" t="s">
        <v>39</v>
      </c>
      <c r="B1" s="2" t="s">
        <v>40</v>
      </c>
      <c r="C1" s="2" t="s">
        <v>41</v>
      </c>
      <c r="D1" s="2" t="s">
        <v>0</v>
      </c>
      <c r="E1" s="2" t="s">
        <v>42</v>
      </c>
      <c r="F1" s="2" t="s">
        <v>43</v>
      </c>
      <c r="G1" s="2" t="s">
        <v>44</v>
      </c>
      <c r="H1" s="2" t="s">
        <v>45</v>
      </c>
    </row>
    <row r="2" spans="1:8">
      <c r="A2" t="s">
        <v>46</v>
      </c>
      <c r="B2" s="5">
        <v>46275</v>
      </c>
      <c r="C2" t="s">
        <v>47</v>
      </c>
      <c r="D2" t="s">
        <v>6</v>
      </c>
      <c r="E2">
        <v>1000</v>
      </c>
      <c r="F2" s="5">
        <v>46285</v>
      </c>
      <c r="G2" t="s">
        <v>48</v>
      </c>
      <c r="H2" t="s">
        <v>49</v>
      </c>
    </row>
    <row r="3" spans="1:8">
      <c r="A3" t="s">
        <v>50</v>
      </c>
      <c r="B3" s="5">
        <v>46275</v>
      </c>
      <c r="C3" t="s">
        <v>51</v>
      </c>
      <c r="D3" t="s">
        <v>15</v>
      </c>
      <c r="E3">
        <v>10</v>
      </c>
      <c r="F3" s="5">
        <v>46283</v>
      </c>
      <c r="G3" t="s">
        <v>52</v>
      </c>
      <c r="H3" t="s">
        <v>49</v>
      </c>
    </row>
    <row r="4" spans="1:8">
      <c r="A4" t="s">
        <v>53</v>
      </c>
      <c r="B4" s="5">
        <v>46275</v>
      </c>
      <c r="C4" t="s">
        <v>47</v>
      </c>
      <c r="D4" t="s">
        <v>12</v>
      </c>
      <c r="E4">
        <v>150</v>
      </c>
      <c r="F4" s="5">
        <v>46290</v>
      </c>
      <c r="G4" t="s">
        <v>48</v>
      </c>
      <c r="H4" t="s">
        <v>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BA323-0193-41E9-9E3F-A8BE47932D14}">
  <dimension ref="A1:G7"/>
  <sheetViews>
    <sheetView workbookViewId="0">
      <selection activeCell="I12" sqref="I12"/>
    </sheetView>
  </sheetViews>
  <sheetFormatPr defaultRowHeight="15"/>
  <cols>
    <col min="1" max="1" width="14.5703125" customWidth="1"/>
    <col min="2" max="2" width="19" bestFit="1" customWidth="1"/>
    <col min="3" max="3" width="12.42578125" bestFit="1" customWidth="1"/>
    <col min="4" max="4" width="13.42578125" customWidth="1"/>
    <col min="5" max="5" width="18.85546875" customWidth="1"/>
    <col min="6" max="6" width="22" customWidth="1"/>
    <col min="7" max="7" width="19" bestFit="1" customWidth="1"/>
  </cols>
  <sheetData>
    <row r="1" spans="1:7">
      <c r="A1" s="2" t="s">
        <v>39</v>
      </c>
      <c r="B1" s="2" t="s">
        <v>0</v>
      </c>
      <c r="C1" s="2" t="s">
        <v>20</v>
      </c>
      <c r="D1" s="2" t="s">
        <v>55</v>
      </c>
      <c r="E1" s="2" t="s">
        <v>23</v>
      </c>
      <c r="F1" s="2" t="s">
        <v>24</v>
      </c>
      <c r="G1" s="2" t="s">
        <v>56</v>
      </c>
    </row>
    <row r="2" spans="1:7">
      <c r="A2" t="s">
        <v>46</v>
      </c>
      <c r="B2" t="s">
        <v>6</v>
      </c>
      <c r="C2" t="s">
        <v>25</v>
      </c>
      <c r="D2">
        <v>0.42</v>
      </c>
      <c r="E2">
        <v>8</v>
      </c>
      <c r="F2" s="3">
        <v>0.96</v>
      </c>
      <c r="G2" t="s">
        <v>57</v>
      </c>
    </row>
    <row r="3" spans="1:7">
      <c r="A3" t="s">
        <v>46</v>
      </c>
      <c r="B3" t="s">
        <v>6</v>
      </c>
      <c r="C3" t="s">
        <v>34</v>
      </c>
      <c r="D3">
        <v>0.39</v>
      </c>
      <c r="E3">
        <v>15</v>
      </c>
      <c r="F3" s="3">
        <v>0.91</v>
      </c>
      <c r="G3" t="s">
        <v>58</v>
      </c>
    </row>
    <row r="4" spans="1:7">
      <c r="A4" t="s">
        <v>50</v>
      </c>
      <c r="B4" t="s">
        <v>15</v>
      </c>
      <c r="C4" t="s">
        <v>31</v>
      </c>
      <c r="D4">
        <v>86</v>
      </c>
      <c r="E4">
        <v>5</v>
      </c>
      <c r="F4" s="3">
        <v>0.99</v>
      </c>
      <c r="G4" t="s">
        <v>57</v>
      </c>
    </row>
    <row r="5" spans="1:7">
      <c r="A5" t="s">
        <v>50</v>
      </c>
      <c r="B5" t="s">
        <v>15</v>
      </c>
      <c r="C5" t="s">
        <v>28</v>
      </c>
      <c r="D5">
        <v>89.5</v>
      </c>
      <c r="E5">
        <v>12</v>
      </c>
      <c r="F5" s="3">
        <v>0.94</v>
      </c>
      <c r="G5" t="s">
        <v>59</v>
      </c>
    </row>
    <row r="6" spans="1:7">
      <c r="A6" t="s">
        <v>53</v>
      </c>
      <c r="B6" t="s">
        <v>12</v>
      </c>
      <c r="C6" t="s">
        <v>28</v>
      </c>
      <c r="D6">
        <v>14.5</v>
      </c>
      <c r="E6">
        <v>12</v>
      </c>
      <c r="F6" s="3">
        <v>0.94</v>
      </c>
      <c r="G6" t="s">
        <v>57</v>
      </c>
    </row>
    <row r="7" spans="1:7">
      <c r="A7" t="s">
        <v>53</v>
      </c>
      <c r="B7" t="s">
        <v>12</v>
      </c>
      <c r="C7" t="s">
        <v>37</v>
      </c>
      <c r="D7">
        <v>15.1</v>
      </c>
      <c r="E7">
        <v>7</v>
      </c>
      <c r="F7" s="3">
        <v>0.97</v>
      </c>
      <c r="G7" t="s">
        <v>58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B8B0A-D474-4129-AB22-08EF397BA5A7}">
  <dimension ref="A1:J4"/>
  <sheetViews>
    <sheetView workbookViewId="0">
      <selection activeCell="E9" sqref="E9"/>
    </sheetView>
  </sheetViews>
  <sheetFormatPr defaultRowHeight="15"/>
  <cols>
    <col min="1" max="1" width="13.85546875" bestFit="1" customWidth="1"/>
    <col min="2" max="2" width="13.5703125" bestFit="1" customWidth="1"/>
    <col min="3" max="3" width="13.85546875" customWidth="1"/>
    <col min="4" max="4" width="12.42578125" bestFit="1" customWidth="1"/>
    <col min="5" max="5" width="19" bestFit="1" customWidth="1"/>
    <col min="6" max="6" width="11.28515625" bestFit="1" customWidth="1"/>
    <col min="7" max="7" width="12.140625" bestFit="1" customWidth="1"/>
    <col min="8" max="8" width="14.85546875" customWidth="1"/>
    <col min="9" max="9" width="19.7109375" bestFit="1" customWidth="1"/>
  </cols>
  <sheetData>
    <row r="1" spans="1:10">
      <c r="A1" s="2" t="s">
        <v>60</v>
      </c>
      <c r="B1" s="2" t="s">
        <v>39</v>
      </c>
      <c r="C1" s="2" t="s">
        <v>61</v>
      </c>
      <c r="D1" s="2" t="s">
        <v>20</v>
      </c>
      <c r="E1" s="2" t="s">
        <v>0</v>
      </c>
      <c r="F1" s="2" t="s">
        <v>42</v>
      </c>
      <c r="G1" s="2" t="s">
        <v>55</v>
      </c>
      <c r="H1" s="2" t="s">
        <v>62</v>
      </c>
      <c r="I1" s="2" t="s">
        <v>63</v>
      </c>
      <c r="J1" s="2" t="s">
        <v>45</v>
      </c>
    </row>
    <row r="2" spans="1:10">
      <c r="A2" t="s">
        <v>64</v>
      </c>
      <c r="B2" t="s">
        <v>46</v>
      </c>
      <c r="C2" s="5">
        <v>46275</v>
      </c>
      <c r="D2" t="s">
        <v>25</v>
      </c>
      <c r="E2" t="s">
        <v>6</v>
      </c>
      <c r="F2">
        <v>1000</v>
      </c>
      <c r="G2" s="6">
        <v>0.42</v>
      </c>
      <c r="H2" s="6">
        <v>420</v>
      </c>
      <c r="I2" s="5">
        <v>46283</v>
      </c>
      <c r="J2" t="s">
        <v>65</v>
      </c>
    </row>
    <row r="3" spans="1:10">
      <c r="A3" t="s">
        <v>66</v>
      </c>
      <c r="B3" t="s">
        <v>50</v>
      </c>
      <c r="C3" s="5">
        <v>46275</v>
      </c>
      <c r="D3" t="s">
        <v>31</v>
      </c>
      <c r="E3" t="s">
        <v>15</v>
      </c>
      <c r="F3">
        <v>10</v>
      </c>
      <c r="G3" s="6">
        <v>86</v>
      </c>
      <c r="H3" s="6">
        <v>860</v>
      </c>
      <c r="I3" s="5">
        <v>46280</v>
      </c>
      <c r="J3" t="s">
        <v>65</v>
      </c>
    </row>
    <row r="4" spans="1:10">
      <c r="A4" t="s">
        <v>67</v>
      </c>
      <c r="B4" t="s">
        <v>53</v>
      </c>
      <c r="C4" s="5">
        <v>46275</v>
      </c>
      <c r="D4" t="s">
        <v>28</v>
      </c>
      <c r="E4" t="s">
        <v>12</v>
      </c>
      <c r="F4">
        <v>150</v>
      </c>
      <c r="G4" s="6">
        <v>14.5</v>
      </c>
      <c r="H4" s="6">
        <v>2175</v>
      </c>
      <c r="I4" s="5">
        <v>46287</v>
      </c>
      <c r="J4" t="s">
        <v>65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0B387-FF32-43B6-B328-1A93EB5F2A22}">
  <dimension ref="A1:H4"/>
  <sheetViews>
    <sheetView workbookViewId="0">
      <selection activeCell="B9" sqref="B9"/>
    </sheetView>
  </sheetViews>
  <sheetFormatPr defaultRowHeight="15"/>
  <cols>
    <col min="1" max="1" width="14.7109375" customWidth="1"/>
    <col min="2" max="2" width="15.5703125" customWidth="1"/>
    <col min="3" max="3" width="17" customWidth="1"/>
    <col min="4" max="4" width="19" bestFit="1" customWidth="1"/>
    <col min="5" max="5" width="19.28515625" bestFit="1" customWidth="1"/>
    <col min="6" max="6" width="20.140625" bestFit="1" customWidth="1"/>
    <col min="7" max="7" width="20.28515625" bestFit="1" customWidth="1"/>
    <col min="8" max="8" width="20" bestFit="1" customWidth="1"/>
  </cols>
  <sheetData>
    <row r="1" spans="1:8">
      <c r="A1" s="2" t="s">
        <v>68</v>
      </c>
      <c r="B1" s="2" t="s">
        <v>60</v>
      </c>
      <c r="C1" s="2" t="s">
        <v>69</v>
      </c>
      <c r="D1" s="2" t="s">
        <v>0</v>
      </c>
      <c r="E1" s="2" t="s">
        <v>70</v>
      </c>
      <c r="F1" s="2" t="s">
        <v>71</v>
      </c>
      <c r="G1" s="2" t="s">
        <v>72</v>
      </c>
      <c r="H1" s="2" t="s">
        <v>73</v>
      </c>
    </row>
    <row r="2" spans="1:8">
      <c r="A2" t="s">
        <v>74</v>
      </c>
      <c r="B2" t="s">
        <v>64</v>
      </c>
      <c r="C2" s="5">
        <v>46283</v>
      </c>
      <c r="D2" t="s">
        <v>6</v>
      </c>
      <c r="E2">
        <v>1000</v>
      </c>
      <c r="F2">
        <v>1000</v>
      </c>
      <c r="G2">
        <v>1000</v>
      </c>
      <c r="H2" t="s">
        <v>75</v>
      </c>
    </row>
    <row r="3" spans="1:8">
      <c r="A3" t="s">
        <v>76</v>
      </c>
      <c r="B3" t="s">
        <v>66</v>
      </c>
      <c r="C3" s="5">
        <v>46280</v>
      </c>
      <c r="D3" t="s">
        <v>15</v>
      </c>
      <c r="E3">
        <v>10</v>
      </c>
      <c r="F3">
        <v>10</v>
      </c>
      <c r="G3">
        <v>10</v>
      </c>
      <c r="H3" t="s">
        <v>75</v>
      </c>
    </row>
    <row r="4" spans="1:8">
      <c r="A4" t="s">
        <v>77</v>
      </c>
      <c r="B4" t="s">
        <v>67</v>
      </c>
      <c r="C4" s="5">
        <v>46287</v>
      </c>
      <c r="D4" t="s">
        <v>12</v>
      </c>
      <c r="E4">
        <v>150</v>
      </c>
      <c r="F4">
        <v>145</v>
      </c>
      <c r="G4">
        <v>143</v>
      </c>
      <c r="H4" t="s">
        <v>78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C89FB-C268-43C8-BE78-F914589CBD25}">
  <dimension ref="A1:H4"/>
  <sheetViews>
    <sheetView tabSelected="1" workbookViewId="0">
      <selection activeCell="I10" sqref="I10"/>
    </sheetView>
  </sheetViews>
  <sheetFormatPr defaultRowHeight="15"/>
  <cols>
    <col min="1" max="1" width="17.7109375" bestFit="1" customWidth="1"/>
    <col min="2" max="2" width="14.85546875" customWidth="1"/>
    <col min="3" max="3" width="15.28515625" customWidth="1"/>
    <col min="4" max="4" width="16.140625" customWidth="1"/>
    <col min="5" max="5" width="19.28515625" customWidth="1"/>
    <col min="6" max="6" width="19.42578125" bestFit="1" customWidth="1"/>
    <col min="7" max="7" width="12.140625" bestFit="1" customWidth="1"/>
    <col min="8" max="8" width="14.85546875" bestFit="1" customWidth="1"/>
    <col min="9" max="9" width="11.5703125" customWidth="1"/>
  </cols>
  <sheetData>
    <row r="1" spans="1:8">
      <c r="A1" s="2" t="s">
        <v>79</v>
      </c>
      <c r="B1" s="2" t="s">
        <v>60</v>
      </c>
      <c r="C1" s="2" t="s">
        <v>80</v>
      </c>
      <c r="D1" s="2" t="s">
        <v>20</v>
      </c>
      <c r="E1" s="2" t="s">
        <v>0</v>
      </c>
      <c r="F1" s="2" t="s">
        <v>81</v>
      </c>
      <c r="G1" s="2" t="s">
        <v>55</v>
      </c>
      <c r="H1" s="2" t="s">
        <v>82</v>
      </c>
    </row>
    <row r="2" spans="1:8">
      <c r="A2" t="s">
        <v>83</v>
      </c>
      <c r="B2" t="s">
        <v>64</v>
      </c>
      <c r="C2" s="5">
        <v>46283</v>
      </c>
      <c r="D2" t="s">
        <v>25</v>
      </c>
      <c r="E2" t="s">
        <v>6</v>
      </c>
      <c r="F2">
        <v>1000</v>
      </c>
      <c r="G2" s="6">
        <v>420</v>
      </c>
      <c r="H2" s="6">
        <f>_xlfn.XLOOKUP(B2,tblInvoices[PO Number],tblInvoices[Quantity Invoiced])</f>
        <v>1000</v>
      </c>
    </row>
    <row r="3" spans="1:8">
      <c r="A3" t="s">
        <v>84</v>
      </c>
      <c r="B3" t="s">
        <v>66</v>
      </c>
      <c r="C3" s="5">
        <v>46280</v>
      </c>
      <c r="D3" t="s">
        <v>31</v>
      </c>
      <c r="E3" t="s">
        <v>15</v>
      </c>
      <c r="F3">
        <v>10</v>
      </c>
      <c r="G3" s="6">
        <v>86</v>
      </c>
      <c r="H3" s="6">
        <v>860</v>
      </c>
    </row>
    <row r="4" spans="1:8">
      <c r="A4" t="s">
        <v>85</v>
      </c>
      <c r="B4" t="s">
        <v>67</v>
      </c>
      <c r="C4" s="5">
        <v>46287</v>
      </c>
      <c r="D4" t="s">
        <v>28</v>
      </c>
      <c r="E4" t="s">
        <v>12</v>
      </c>
      <c r="F4">
        <v>150</v>
      </c>
      <c r="G4" s="6">
        <v>14.5</v>
      </c>
      <c r="H4" s="6">
        <v>2175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FEF85-69F1-48E9-A866-8B4710195D5B}">
  <dimension ref="A1:O4"/>
  <sheetViews>
    <sheetView topLeftCell="C1" workbookViewId="0">
      <selection activeCell="M23" sqref="M23"/>
    </sheetView>
  </sheetViews>
  <sheetFormatPr defaultRowHeight="15"/>
  <cols>
    <col min="1" max="1" width="15.140625" customWidth="1"/>
    <col min="2" max="2" width="16" customWidth="1"/>
    <col min="3" max="3" width="16.5703125" customWidth="1"/>
    <col min="4" max="4" width="17.85546875" customWidth="1"/>
    <col min="5" max="5" width="13.140625" customWidth="1"/>
    <col min="6" max="7" width="17.42578125" customWidth="1"/>
    <col min="8" max="8" width="16.42578125" customWidth="1"/>
    <col min="9" max="9" width="11.28515625" customWidth="1"/>
    <col min="10" max="10" width="12.85546875" customWidth="1"/>
    <col min="11" max="11" width="15.85546875" customWidth="1"/>
    <col min="12" max="12" width="17.5703125" customWidth="1"/>
    <col min="13" max="13" width="15.28515625" customWidth="1"/>
    <col min="14" max="14" width="18.28515625" customWidth="1"/>
    <col min="15" max="15" width="15.140625" customWidth="1"/>
  </cols>
  <sheetData>
    <row r="1" spans="1:15">
      <c r="A1" s="7" t="s">
        <v>79</v>
      </c>
      <c r="B1" s="7" t="s">
        <v>60</v>
      </c>
      <c r="C1" s="8" t="s">
        <v>20</v>
      </c>
      <c r="D1" s="8" t="s">
        <v>0</v>
      </c>
      <c r="E1" s="8" t="s">
        <v>86</v>
      </c>
      <c r="F1" s="8" t="s">
        <v>87</v>
      </c>
      <c r="G1" s="8" t="s">
        <v>88</v>
      </c>
      <c r="H1" s="8" t="s">
        <v>89</v>
      </c>
      <c r="I1" s="8" t="s">
        <v>55</v>
      </c>
      <c r="J1" s="8" t="s">
        <v>82</v>
      </c>
      <c r="K1" s="8" t="s">
        <v>90</v>
      </c>
      <c r="L1" s="8" t="s">
        <v>91</v>
      </c>
      <c r="M1" s="8" t="s">
        <v>92</v>
      </c>
      <c r="N1" s="8" t="s">
        <v>93</v>
      </c>
      <c r="O1" s="8" t="s">
        <v>94</v>
      </c>
    </row>
    <row r="2" spans="1:15">
      <c r="A2" t="s">
        <v>83</v>
      </c>
      <c r="B2" t="s">
        <v>64</v>
      </c>
      <c r="C2" t="s">
        <v>25</v>
      </c>
      <c r="D2" t="s">
        <v>6</v>
      </c>
      <c r="E2">
        <f>_xlfn.XLOOKUP(B2,'Purchase Orders'!A:A,'Purchase Orders'!F:F)</f>
        <v>1000</v>
      </c>
      <c r="F2">
        <f>LOOKUP(B2,tblGoodsReceipts[PO Number],tblGoodsReceipts[Quantity Received])</f>
        <v>1000</v>
      </c>
      <c r="G2">
        <v>1000</v>
      </c>
      <c r="H2">
        <f>_xlfn.XLOOKUP(B2,tblInvoices[PO Number],tblInvoices[Quantity Invoiced])</f>
        <v>1000</v>
      </c>
      <c r="I2" s="1">
        <f>_xlfn.XLOOKUP(B2,tblInvoices[PO Number],tblInvoices[Unit Price])</f>
        <v>420</v>
      </c>
      <c r="J2" s="1">
        <f>_xlfn.XLOOKUP(B2,tblInvoices[PO Number],tblInvoices[Invoice Total])</f>
        <v>1000</v>
      </c>
      <c r="K2" t="str">
        <f>IF(H2=G2,"Match","Exception")</f>
        <v>Match</v>
      </c>
      <c r="L2" s="1" t="str">
        <f>IF(I2=_xlfn.XLOOKUP(B2,'Purchase Orders'!A:A,'Purchase Orders'!G:G),"Match","Exception")</f>
        <v>Exception</v>
      </c>
      <c r="M2" t="str">
        <f>IF(AND(K2="Match",L2="Match"),"Approved","Exception / Hold")</f>
        <v>Exception / Hold</v>
      </c>
      <c r="N2">
        <f>H2-G2</f>
        <v>0</v>
      </c>
      <c r="O2" s="1">
        <f>N2*I2</f>
        <v>0</v>
      </c>
    </row>
    <row r="3" spans="1:15">
      <c r="A3" t="s">
        <v>84</v>
      </c>
      <c r="B3" t="s">
        <v>66</v>
      </c>
      <c r="C3" t="s">
        <v>31</v>
      </c>
      <c r="D3" t="s">
        <v>15</v>
      </c>
      <c r="E3">
        <f>_xlfn.XLOOKUP(B3,'Purchase Orders'!A:A,'Purchase Orders'!F:F)</f>
        <v>10</v>
      </c>
      <c r="F3">
        <f>LOOKUP(B3,tblGoodsReceipts[PO Number],tblGoodsReceipts[Quantity Received])</f>
        <v>10</v>
      </c>
      <c r="G3">
        <f>LOOKUP(B3,tblGoodsReceipts[PO Number],tblGoodsReceipts[Quantity Accepted])</f>
        <v>10</v>
      </c>
      <c r="H3">
        <f>_xlfn.XLOOKUP(B3,tblInvoices[PO Number],tblInvoices[Quantity Invoiced])</f>
        <v>10</v>
      </c>
      <c r="I3" s="1">
        <f>_xlfn.XLOOKUP(B3,tblInvoices[PO Number],tblInvoices[Unit Price])</f>
        <v>86</v>
      </c>
      <c r="J3" s="1">
        <f>_xlfn.XLOOKUP(B3,tblInvoices[PO Number],tblInvoices[Invoice Total])</f>
        <v>860</v>
      </c>
      <c r="K3" t="str">
        <f t="shared" ref="K3:K4" si="0">IF(H3=G3,"Match","Exception")</f>
        <v>Match</v>
      </c>
      <c r="L3" s="1" t="str">
        <f>IF(I3=_xlfn.XLOOKUP(B3,'Purchase Orders'!A:A,'Purchase Orders'!G:G),"Match","Exception")</f>
        <v>Match</v>
      </c>
      <c r="M3" t="str">
        <f t="shared" ref="M3:M4" si="1">IF(AND(K3="Match",L3="Match"),"Approved","Exception / Hold")</f>
        <v>Approved</v>
      </c>
      <c r="N3">
        <f t="shared" ref="N3:N4" si="2">H3-G3</f>
        <v>0</v>
      </c>
      <c r="O3" s="1">
        <f t="shared" ref="O3:O4" si="3">N3*I3</f>
        <v>0</v>
      </c>
    </row>
    <row r="4" spans="1:15">
      <c r="A4" t="s">
        <v>85</v>
      </c>
      <c r="B4" t="s">
        <v>67</v>
      </c>
      <c r="C4" t="s">
        <v>28</v>
      </c>
      <c r="D4" t="s">
        <v>12</v>
      </c>
      <c r="E4">
        <f>_xlfn.XLOOKUP(B4,'Purchase Orders'!A:A,'Purchase Orders'!F:F)</f>
        <v>150</v>
      </c>
      <c r="F4">
        <f>LOOKUP(B4,tblGoodsReceipts[PO Number],tblGoodsReceipts[Quantity Received])</f>
        <v>145</v>
      </c>
      <c r="G4">
        <f>LOOKUP(B4,tblGoodsReceipts[PO Number],tblGoodsReceipts[Quantity Accepted])</f>
        <v>143</v>
      </c>
      <c r="H4">
        <f>_xlfn.XLOOKUP(B4,tblInvoices[PO Number],tblInvoices[Quantity Invoiced])</f>
        <v>150</v>
      </c>
      <c r="I4" s="1">
        <f>_xlfn.XLOOKUP(B4,tblInvoices[PO Number],tblInvoices[Unit Price])</f>
        <v>14.5</v>
      </c>
      <c r="J4" s="1">
        <f>_xlfn.XLOOKUP(B4,tblInvoices[PO Number],tblInvoices[Invoice Total])</f>
        <v>2175</v>
      </c>
      <c r="K4" t="str">
        <f t="shared" si="0"/>
        <v>Exception</v>
      </c>
      <c r="L4" s="1" t="str">
        <f>IF(I4=_xlfn.XLOOKUP(B4,'Purchase Orders'!A:A,'Purchase Orders'!G:G),"Match","Exception")</f>
        <v>Match</v>
      </c>
      <c r="M4" t="str">
        <f>IF(AND(K4="Match",L4="Match"),"Approved","Exception / Hold")</f>
        <v>Exception / Hold</v>
      </c>
      <c r="N4">
        <f t="shared" si="2"/>
        <v>7</v>
      </c>
      <c r="O4" s="1">
        <f t="shared" si="3"/>
        <v>101.5</v>
      </c>
    </row>
  </sheetData>
  <conditionalFormatting sqref="K2:K4">
    <cfRule type="containsText" dxfId="4" priority="5" operator="containsText" text="Match$N$14$K$9">
      <formula>NOT(ISERROR(SEARCH("Match$N$14$K$9",K2)))</formula>
    </cfRule>
  </conditionalFormatting>
  <conditionalFormatting sqref="K2:K4">
    <cfRule type="containsText" dxfId="3" priority="4" operator="containsText" text="Match">
      <formula>NOT(ISERROR(SEARCH("Match",K2)))</formula>
    </cfRule>
  </conditionalFormatting>
  <conditionalFormatting sqref="K2:K4">
    <cfRule type="containsText" dxfId="2" priority="3" operator="containsText" text="Exception">
      <formula>NOT(ISERROR(SEARCH("Exception",K2)))</formula>
    </cfRule>
  </conditionalFormatting>
  <conditionalFormatting sqref="M2:M4">
    <cfRule type="containsText" dxfId="1" priority="2" operator="containsText" text="Approved">
      <formula>NOT(ISERROR(SEARCH("Approved",M2)))</formula>
    </cfRule>
  </conditionalFormatting>
  <conditionalFormatting sqref="M2:M4">
    <cfRule type="containsText" dxfId="0" priority="1" operator="containsText" text="Exception">
      <formula>NOT(ISERROR(SEARCH("Exception",M2)))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11B21-C8F6-40BD-A73C-9805A1F06E7B}">
  <dimension ref="A1:E8"/>
  <sheetViews>
    <sheetView workbookViewId="0">
      <selection activeCell="J8" sqref="J8"/>
    </sheetView>
  </sheetViews>
  <sheetFormatPr defaultRowHeight="15"/>
  <cols>
    <col min="1" max="1" width="23.28515625" customWidth="1"/>
    <col min="2" max="2" width="12" customWidth="1"/>
    <col min="4" max="4" width="17.140625" customWidth="1"/>
    <col min="5" max="5" width="30.42578125" customWidth="1"/>
  </cols>
  <sheetData>
    <row r="1" spans="1:5">
      <c r="A1" s="8" t="s">
        <v>95</v>
      </c>
      <c r="B1" s="8" t="s">
        <v>96</v>
      </c>
      <c r="D1" s="8" t="s">
        <v>97</v>
      </c>
    </row>
    <row r="2" spans="1:5">
      <c r="A2" t="s">
        <v>98</v>
      </c>
      <c r="B2">
        <f>COUNTA('Three-Way Match'!A2:A4)</f>
        <v>3</v>
      </c>
      <c r="D2" t="s">
        <v>99</v>
      </c>
      <c r="E2" t="s">
        <v>85</v>
      </c>
    </row>
    <row r="3" spans="1:5">
      <c r="A3" t="s">
        <v>100</v>
      </c>
      <c r="B3">
        <f>COUNTIF('Three-Way Match'!M2:M4,"Approved")</f>
        <v>1</v>
      </c>
      <c r="D3" t="s">
        <v>101</v>
      </c>
      <c r="E3" t="s">
        <v>67</v>
      </c>
    </row>
    <row r="4" spans="1:5">
      <c r="A4" t="s">
        <v>102</v>
      </c>
      <c r="B4">
        <f>COUNTIF('Three-Way Match'!M2:M4,"Exception / Hold")</f>
        <v>2</v>
      </c>
      <c r="D4" t="s">
        <v>103</v>
      </c>
      <c r="E4" t="s">
        <v>104</v>
      </c>
    </row>
    <row r="5" spans="1:5">
      <c r="A5" t="s">
        <v>105</v>
      </c>
      <c r="B5" s="1">
        <f>SUM('Three-Way Match'!J2:J4)</f>
        <v>4035</v>
      </c>
      <c r="D5" t="s">
        <v>88</v>
      </c>
      <c r="E5">
        <v>143</v>
      </c>
    </row>
    <row r="6" spans="1:5">
      <c r="A6" t="s">
        <v>106</v>
      </c>
      <c r="B6" s="1">
        <f>SUM('Three-Way Match'!O2:O4)</f>
        <v>101.5</v>
      </c>
      <c r="D6" t="s">
        <v>89</v>
      </c>
      <c r="E6">
        <v>150</v>
      </c>
    </row>
    <row r="7" spans="1:5">
      <c r="A7" t="s">
        <v>107</v>
      </c>
      <c r="B7" s="3">
        <f>B4/B2</f>
        <v>0.66666666666666663</v>
      </c>
      <c r="D7" t="s">
        <v>93</v>
      </c>
      <c r="E7">
        <v>7</v>
      </c>
    </row>
    <row r="8" spans="1:5">
      <c r="D8" t="s">
        <v>94</v>
      </c>
      <c r="E8" s="6">
        <v>101.5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2026-09-07T00:55:50Z</dcterms:created>
  <dcterms:modified xsi:type="dcterms:W3CDTF">2026-09-12T23:08:25Z</dcterms:modified>
  <cp:category/>
  <cp:contentStatus/>
</cp:coreProperties>
</file>