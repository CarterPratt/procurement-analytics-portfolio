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0" documentId="8_{D830127F-6F01-45A8-8097-EED1106319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O tracker" sheetId="1" r:id="rId1"/>
  </sheets>
  <definedNames>
    <definedName name="_xlnm._FilterDatabase" localSheetId="0" hidden="1">'PO tracker'!$A$2:$G$12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1" l="1"/>
  <c r="G14" i="1"/>
  <c r="F14" i="1"/>
  <c r="E14" i="1"/>
  <c r="B14" i="1"/>
  <c r="F11" i="1"/>
  <c r="F6" i="1"/>
  <c r="F2" i="1"/>
  <c r="F10" i="1"/>
  <c r="F8" i="1"/>
  <c r="F4" i="1"/>
  <c r="F7" i="1"/>
  <c r="F5" i="1"/>
  <c r="F9" i="1"/>
  <c r="F3" i="1"/>
  <c r="C14" i="1" l="1"/>
  <c r="D14" i="1"/>
</calcChain>
</file>

<file path=xl/sharedStrings.xml><?xml version="1.0" encoding="utf-8"?>
<sst xmlns="http://schemas.openxmlformats.org/spreadsheetml/2006/main" count="54" uniqueCount="41">
  <si>
    <t>PO Number</t>
  </si>
  <si>
    <t>Supplier</t>
  </si>
  <si>
    <t>Item</t>
  </si>
  <si>
    <t>Quantity</t>
  </si>
  <si>
    <t>Unit Price</t>
  </si>
  <si>
    <t>Total Cost</t>
  </si>
  <si>
    <t>Status</t>
  </si>
  <si>
    <t>PO-1004</t>
  </si>
  <si>
    <t>Northstar Supplies</t>
  </si>
  <si>
    <t>Toner</t>
  </si>
  <si>
    <t>Ordered</t>
  </si>
  <si>
    <t>PO-1001</t>
  </si>
  <si>
    <t>Printer Paper</t>
  </si>
  <si>
    <t>Received</t>
  </si>
  <si>
    <t>PO-1007</t>
  </si>
  <si>
    <t>Evergreen Industrial</t>
  </si>
  <si>
    <t>Safety Glasses</t>
  </si>
  <si>
    <t>PO-1009</t>
  </si>
  <si>
    <t>Staplers</t>
  </si>
  <si>
    <t>Pending</t>
  </si>
  <si>
    <t>PO-1003</t>
  </si>
  <si>
    <t>Safety Gloves</t>
  </si>
  <si>
    <t>PO-1008</t>
  </si>
  <si>
    <t>Cascade Packaging</t>
  </si>
  <si>
    <t>Packing Tape</t>
  </si>
  <si>
    <t>PO-1006</t>
  </si>
  <si>
    <t>Pacific Office Co.</t>
  </si>
  <si>
    <t>Notebooks</t>
  </si>
  <si>
    <t>PO-1010</t>
  </si>
  <si>
    <t>Markers</t>
  </si>
  <si>
    <t>PO-1005</t>
  </si>
  <si>
    <t>Cardboard Boxes</t>
  </si>
  <si>
    <t>PO-1002</t>
  </si>
  <si>
    <t>Pens</t>
  </si>
  <si>
    <t>Total Purchase Orders</t>
  </si>
  <si>
    <t>Average Unit Price</t>
  </si>
  <si>
    <t>Average Cost</t>
  </si>
  <si>
    <t>Total Spend</t>
  </si>
  <si>
    <t xml:space="preserve">Total Pending orders </t>
  </si>
  <si>
    <t>Total Received orders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</si>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</sst>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2" borderId="0" xfId="0" applyFon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H12" sqref="H12"/>
    </sheetView>
  </sheetViews>
  <sheetFormatPr defaultRowHeight="15"/>
  <cols>
    <col min="1" max="1" width="20.85546875" customWidth="1"/>
    <col min="2" max="2" width="17.5703125" customWidth="1"/>
    <col min="3" max="3" width="15.42578125" customWidth="1"/>
    <col min="4" max="4" width="16.42578125" customWidth="1"/>
    <col min="5" max="5" width="22.140625" customWidth="1"/>
    <col min="6" max="6" width="19.28515625" customWidth="1"/>
    <col min="7" max="7" width="11.42578125" customWidth="1"/>
    <col min="8" max="8" width="20.140625" customWidth="1"/>
    <col min="9" max="9" width="20.28515625" customWidth="1"/>
    <col min="10" max="10" width="12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3" t="s">
        <v>8</v>
      </c>
      <c r="C2" s="3" t="s">
        <v>9</v>
      </c>
      <c r="D2" s="3">
        <v>10</v>
      </c>
      <c r="E2" s="4">
        <v>62</v>
      </c>
      <c r="F2" s="4">
        <f>E2*D2</f>
        <v>620</v>
      </c>
      <c r="G2" s="3" t="s">
        <v>10</v>
      </c>
    </row>
    <row r="3" spans="1:7">
      <c r="A3" s="3" t="s">
        <v>11</v>
      </c>
      <c r="B3" s="3" t="s">
        <v>8</v>
      </c>
      <c r="C3" s="3" t="s">
        <v>12</v>
      </c>
      <c r="D3" s="3">
        <v>20</v>
      </c>
      <c r="E3" s="4">
        <v>24.5</v>
      </c>
      <c r="F3" s="4">
        <f>E3*D3</f>
        <v>490</v>
      </c>
      <c r="G3" s="3" t="s">
        <v>13</v>
      </c>
    </row>
    <row r="4" spans="1:7">
      <c r="A4" s="3" t="s">
        <v>14</v>
      </c>
      <c r="B4" s="3" t="s">
        <v>15</v>
      </c>
      <c r="C4" s="3" t="s">
        <v>16</v>
      </c>
      <c r="D4" s="3">
        <v>30</v>
      </c>
      <c r="E4" s="4">
        <v>12.5</v>
      </c>
      <c r="F4" s="4">
        <f>E4*D4</f>
        <v>375</v>
      </c>
      <c r="G4" s="3" t="s">
        <v>10</v>
      </c>
    </row>
    <row r="5" spans="1:7">
      <c r="A5" s="3" t="s">
        <v>17</v>
      </c>
      <c r="B5" s="3" t="s">
        <v>8</v>
      </c>
      <c r="C5" s="3" t="s">
        <v>18</v>
      </c>
      <c r="D5" s="3">
        <v>15</v>
      </c>
      <c r="E5" s="4">
        <v>9.75</v>
      </c>
      <c r="F5" s="4">
        <f>E5*D5</f>
        <v>146.25</v>
      </c>
      <c r="G5" s="3" t="s">
        <v>19</v>
      </c>
    </row>
    <row r="6" spans="1:7">
      <c r="A6" s="3" t="s">
        <v>20</v>
      </c>
      <c r="B6" s="3" t="s">
        <v>15</v>
      </c>
      <c r="C6" s="3" t="s">
        <v>21</v>
      </c>
      <c r="D6" s="3">
        <v>50</v>
      </c>
      <c r="E6" s="4">
        <v>8.75</v>
      </c>
      <c r="F6" s="4">
        <f>E6*D6</f>
        <v>437.5</v>
      </c>
      <c r="G6" s="3" t="s">
        <v>19</v>
      </c>
    </row>
    <row r="7" spans="1:7">
      <c r="A7" s="3" t="s">
        <v>22</v>
      </c>
      <c r="B7" s="3" t="s">
        <v>23</v>
      </c>
      <c r="C7" s="3" t="s">
        <v>24</v>
      </c>
      <c r="D7" s="3">
        <v>60</v>
      </c>
      <c r="E7" s="4">
        <v>5.25</v>
      </c>
      <c r="F7" s="4">
        <f>E7*D7</f>
        <v>315</v>
      </c>
      <c r="G7" s="3" t="s">
        <v>13</v>
      </c>
    </row>
    <row r="8" spans="1:7">
      <c r="A8" s="3" t="s">
        <v>25</v>
      </c>
      <c r="B8" s="3" t="s">
        <v>26</v>
      </c>
      <c r="C8" s="3" t="s">
        <v>27</v>
      </c>
      <c r="D8" s="3">
        <v>75</v>
      </c>
      <c r="E8" s="4">
        <v>4.5</v>
      </c>
      <c r="F8" s="4">
        <f>E8*D8</f>
        <v>337.5</v>
      </c>
      <c r="G8" s="3" t="s">
        <v>19</v>
      </c>
    </row>
    <row r="9" spans="1:7">
      <c r="A9" s="3" t="s">
        <v>28</v>
      </c>
      <c r="B9" s="3" t="s">
        <v>26</v>
      </c>
      <c r="C9" s="3" t="s">
        <v>29</v>
      </c>
      <c r="D9" s="3">
        <v>40</v>
      </c>
      <c r="E9" s="4">
        <v>3.25</v>
      </c>
      <c r="F9" s="4">
        <f>E9*D9</f>
        <v>130</v>
      </c>
      <c r="G9" s="3" t="s">
        <v>10</v>
      </c>
    </row>
    <row r="10" spans="1:7">
      <c r="A10" s="3" t="s">
        <v>30</v>
      </c>
      <c r="B10" s="3" t="s">
        <v>23</v>
      </c>
      <c r="C10" s="3" t="s">
        <v>31</v>
      </c>
      <c r="D10" s="3">
        <v>200</v>
      </c>
      <c r="E10" s="4">
        <v>2.4</v>
      </c>
      <c r="F10" s="4">
        <f>E10*D10</f>
        <v>480</v>
      </c>
      <c r="G10" s="3" t="s">
        <v>13</v>
      </c>
    </row>
    <row r="11" spans="1:7">
      <c r="A11" s="3" t="s">
        <v>32</v>
      </c>
      <c r="B11" s="3" t="s">
        <v>26</v>
      </c>
      <c r="C11" s="3" t="s">
        <v>33</v>
      </c>
      <c r="D11" s="3">
        <v>100</v>
      </c>
      <c r="E11" s="4">
        <v>1.25</v>
      </c>
      <c r="F11" s="4">
        <f>E11*D11</f>
        <v>125</v>
      </c>
      <c r="G11" s="3" t="s">
        <v>13</v>
      </c>
    </row>
    <row r="12" spans="1:7">
      <c r="C12" s="2"/>
    </row>
    <row r="13" spans="1:7">
      <c r="A13" s="5" t="s">
        <v>34</v>
      </c>
      <c r="B13" s="5" t="s">
        <v>35</v>
      </c>
      <c r="C13" s="5" t="s">
        <v>36</v>
      </c>
      <c r="D13" s="5" t="s">
        <v>37</v>
      </c>
      <c r="E13" s="5" t="s">
        <v>38</v>
      </c>
      <c r="F13" s="5" t="s">
        <v>39</v>
      </c>
      <c r="G13" s="5" t="s">
        <v>40</v>
      </c>
    </row>
    <row r="14" spans="1:7">
      <c r="A14" s="8">
        <f>COUNTA(A2:A11)</f>
        <v>10</v>
      </c>
      <c r="B14" s="6">
        <f>AVERAGE(E2:E11)</f>
        <v>13.415000000000001</v>
      </c>
      <c r="C14" s="6">
        <f>AVERAGE(F2:F11)</f>
        <v>345.625</v>
      </c>
      <c r="D14" s="6">
        <f>SUM(F2:F11)</f>
        <v>3456.25</v>
      </c>
      <c r="E14" s="7">
        <f>COUNTIF(G2:G11,"pending")</f>
        <v>3</v>
      </c>
      <c r="F14" s="7">
        <f>COUNTIF(G2:G11,"received")</f>
        <v>4</v>
      </c>
      <c r="G14" s="7">
        <f>COUNTIF(G2:G11,"ordered")</f>
        <v>3</v>
      </c>
    </row>
  </sheetData>
  <sortState xmlns:xlrd2="http://schemas.microsoft.com/office/spreadsheetml/2017/richdata2" ref="A2:G11">
    <sortCondition descending="1" ref="E2:E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2026-08-17T20:03:31Z</dcterms:created>
  <dcterms:modified xsi:type="dcterms:W3CDTF">2026-08-18T00:26:22Z</dcterms:modified>
  <cp:category/>
  <cp:contentStatus/>
</cp:coreProperties>
</file>