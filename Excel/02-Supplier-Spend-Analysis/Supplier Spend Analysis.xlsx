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18AEED70-0935-47E4-8F32-699435BEC9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pplier Spe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" i="1" l="1"/>
  <c r="N13" i="1"/>
  <c r="K17" i="1"/>
  <c r="K18" i="1"/>
  <c r="K16" i="1"/>
  <c r="K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N15" i="1" s="1"/>
  <c r="G17" i="1"/>
  <c r="G18" i="1"/>
  <c r="G19" i="1"/>
  <c r="G20" i="1"/>
  <c r="G21" i="1"/>
  <c r="G2" i="1"/>
  <c r="K9" i="1" s="1"/>
  <c r="K5" i="1" l="1"/>
  <c r="K11" i="1"/>
  <c r="K4" i="1"/>
  <c r="K10" i="1"/>
  <c r="K3" i="1"/>
  <c r="K2" i="1"/>
  <c r="K6" i="1"/>
  <c r="L2" i="1"/>
  <c r="M2" i="1" s="1"/>
  <c r="L5" i="1"/>
  <c r="M5" i="1" s="1"/>
  <c r="L3" i="1"/>
  <c r="M3" i="1" s="1"/>
  <c r="L4" i="1"/>
  <c r="M4" i="1" s="1"/>
</calcChain>
</file>

<file path=xl/sharedStrings.xml><?xml version="1.0" encoding="utf-8"?>
<sst xmlns="http://schemas.openxmlformats.org/spreadsheetml/2006/main" count="135" uniqueCount="63">
  <si>
    <t>PO Number</t>
  </si>
  <si>
    <t>Supplier</t>
  </si>
  <si>
    <t>Category</t>
  </si>
  <si>
    <t>Item</t>
  </si>
  <si>
    <t>Quantity</t>
  </si>
  <si>
    <t>Unit Price</t>
  </si>
  <si>
    <t>Total Spend</t>
  </si>
  <si>
    <t>Status</t>
  </si>
  <si>
    <t>Supplier Spend Summary</t>
  </si>
  <si>
    <t>% of Total Spend</t>
  </si>
  <si>
    <t>Concentration Risk</t>
  </si>
  <si>
    <t>PO-2001</t>
  </si>
  <si>
    <t>Northstar Supplies</t>
  </si>
  <si>
    <t>Office Supplies</t>
  </si>
  <si>
    <t>Printer Paper</t>
  </si>
  <si>
    <t>Received</t>
  </si>
  <si>
    <t>PO-2002</t>
  </si>
  <si>
    <t>Pacific Office Co.</t>
  </si>
  <si>
    <t>Pens</t>
  </si>
  <si>
    <t>PO-2003</t>
  </si>
  <si>
    <t>Evergreen Industrial</t>
  </si>
  <si>
    <t>Safety</t>
  </si>
  <si>
    <t>Safety Gloves</t>
  </si>
  <si>
    <t>PO-2004</t>
  </si>
  <si>
    <t>Cascade Packaging</t>
  </si>
  <si>
    <t>Packaging</t>
  </si>
  <si>
    <t>Cardboard Boxes</t>
  </si>
  <si>
    <t>Pending</t>
  </si>
  <si>
    <t>PO-2005</t>
  </si>
  <si>
    <t>Toner</t>
  </si>
  <si>
    <t>Ordered</t>
  </si>
  <si>
    <t>Total:</t>
  </si>
  <si>
    <t>PO-2006</t>
  </si>
  <si>
    <t>Notebooks</t>
  </si>
  <si>
    <t>PO-2007</t>
  </si>
  <si>
    <t>Safety Glasses</t>
  </si>
  <si>
    <t xml:space="preserve">Category </t>
  </si>
  <si>
    <t>PO-2008</t>
  </si>
  <si>
    <t>Packing Tape</t>
  </si>
  <si>
    <t>PO-2009</t>
  </si>
  <si>
    <t>Staplers</t>
  </si>
  <si>
    <t>PO-2010</t>
  </si>
  <si>
    <t>Markers</t>
  </si>
  <si>
    <t>PO lookup</t>
  </si>
  <si>
    <t>PO-2011</t>
  </si>
  <si>
    <t>Safety Vests</t>
  </si>
  <si>
    <t>PO number</t>
  </si>
  <si>
    <t>PO-2015</t>
  </si>
  <si>
    <t>PO-2012</t>
  </si>
  <si>
    <t>Bubble Wrap</t>
  </si>
  <si>
    <t xml:space="preserve">   </t>
  </si>
  <si>
    <t>PO-2013</t>
  </si>
  <si>
    <t>Folders</t>
  </si>
  <si>
    <t>Number of POs</t>
  </si>
  <si>
    <t>item</t>
  </si>
  <si>
    <t>PO-2014</t>
  </si>
  <si>
    <t>Hard Hats</t>
  </si>
  <si>
    <t>PO-2016</t>
  </si>
  <si>
    <t>Shipping Labels</t>
  </si>
  <si>
    <t>PO-2017</t>
  </si>
  <si>
    <t>PO-2018</t>
  </si>
  <si>
    <t>PO-2019</t>
  </si>
  <si>
    <t>PO-2020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</si>
</sst>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 Spend Analysis</a:t>
            </a:r>
          </a:p>
        </c:rich>
      </c:tx>
      <c:layout>
        <c:manualLayout>
          <c:xMode val="edge"/>
          <c:yMode val="edge"/>
          <c:x val="0.36749606299212606"/>
          <c:y val="2.5062656641604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'Supplier Spend'!K1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'Supplier Spend'!$J$2:$J$5</c:f>
              <c:strCache>
                <c:ptCount val="4"/>
                <c:pt idx="0">
                  <c:v>Northstar Supplies</c:v>
                </c:pt>
                <c:pt idx="1">
                  <c:v>Pacific Office Co.</c:v>
                </c:pt>
                <c:pt idx="2">
                  <c:v>Evergreen Industrial</c:v>
                </c:pt>
                <c:pt idx="3">
                  <c:v>Cascade Packaging</c:v>
                </c:pt>
              </c:strCache>
            </c:strRef>
          </c:cat>
          <c:val>
            <c:numRef>
              <c:f>'Supplier Spend'!$K$2:$K$5</c:f>
              <c:numCache>
                <c:formatCode>_([$$-409]* #,##0.00_);_([$$-409]* \(#,##0.00\);_([$$-409]* "-"??_);_(@_)</c:formatCode>
                <c:ptCount val="4"/>
                <c:pt idx="0">
                  <c:v>2845.5</c:v>
                </c:pt>
                <c:pt idx="1">
                  <c:v>3205</c:v>
                </c:pt>
                <c:pt idx="2">
                  <c:v>3785</c:v>
                </c:pt>
                <c:pt idx="3">
                  <c:v>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53E67B5-8276-415C-ABEE-190803C8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71409415"/>
        <c:axId val="1171415559"/>
      </c:barChart>
      <c:catAx>
        <c:axId val="1171409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 Spend Summary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15559"/>
        <c:crosses val="autoZero"/>
        <c:auto val="1"/>
        <c:lblAlgn val="ctr"/>
        <c:lblOffset val="100"/>
        <c:noMultiLvlLbl val="0"/>
      </c:catAx>
      <c:valAx>
        <c:axId val="1171415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09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581025</xdr:colOff>
      <xdr:row>0</xdr:row>
      <xdr:rowOff>180975</xdr:rowOff>
    </xdr:from>
    <xdr:to>
      <xdr:col>24</xdr:col>
      <xdr:colOff>304800</xdr:colOff>
      <xdr:row>20</xdr:row>
      <xdr:rowOff>171450</xdr:rowOff>
    </xdr:to>
    <xdr:graphicFrame macro="">
      <xdr:nvGraphicFramePr>
        <xdr:cNvPr id="2" name="Chart 1" descr="Chart type: Clustered Bar. 'Total Spend'&#10;&#10;Description automatically generated">
          <a:extLst>
            <a:ext uri="{FF2B5EF4-FFF2-40B4-BE49-F238E27FC236}">
              <a16:creationId xmlns:a16="http://schemas.microsoft.com/office/drawing/2014/main" id="{9C71F4D8-423C-1C48-F721-45BB8DE79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8B1E6-11FF-4F9B-A80B-0BF57101AB05}" name="Table1" displayName="Table1" ref="A1:H21" totalsRowShown="0" headerRowDxfId="1">
  <autoFilter ref="A1:H21" xr:uid="{F4B8B1E6-11FF-4F9B-A80B-0BF57101AB05}"/>
  <tableColumns count="8">
    <tableColumn id="1" xr3:uid="{22E444E8-08B6-4CEB-9014-107E3A21065F}" name="PO Number"/>
    <tableColumn id="2" xr3:uid="{64344808-A970-4C72-8672-741DB4E7E1FE}" name="Supplier"/>
    <tableColumn id="3" xr3:uid="{0079D9FB-82D6-4BBB-8B8B-47B06FCA4D87}" name="Category"/>
    <tableColumn id="4" xr3:uid="{09CB583E-24D9-48A4-AD30-02241C11A3F8}" name="Item"/>
    <tableColumn id="5" xr3:uid="{B5A77AD8-9D7A-4011-9E6F-FB9BE0EFB97E}" name="Quantity"/>
    <tableColumn id="6" xr3:uid="{3A4ABB77-77BF-4D81-87FF-C576757EC1BA}" name="Unit Price"/>
    <tableColumn id="7" xr3:uid="{C75BCA25-8E05-474E-96AF-6D22D03E96AF}" name="Total Spend" dataDxfId="0">
      <calculatedColumnFormula>E2*F2</calculatedColumnFormula>
    </tableColumn>
    <tableColumn id="8" xr3:uid="{F205944C-71CE-411F-B205-A2665C010CA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I1" workbookViewId="0">
      <selection activeCell="Q28" sqref="Q28"/>
    </sheetView>
  </sheetViews>
  <sheetFormatPr defaultRowHeight="15"/>
  <cols>
    <col min="1" max="1" width="13.85546875" bestFit="1" customWidth="1"/>
    <col min="2" max="2" width="21.140625" customWidth="1"/>
    <col min="3" max="3" width="15.28515625" customWidth="1"/>
    <col min="4" max="4" width="16.140625" bestFit="1" customWidth="1"/>
    <col min="5" max="5" width="11.28515625" bestFit="1" customWidth="1"/>
    <col min="6" max="6" width="12.140625" bestFit="1" customWidth="1"/>
    <col min="7" max="7" width="14" bestFit="1" customWidth="1"/>
    <col min="10" max="10" width="24.7109375" customWidth="1"/>
    <col min="11" max="11" width="19.42578125" customWidth="1"/>
    <col min="12" max="12" width="17.85546875" customWidth="1"/>
    <col min="13" max="13" width="18.140625" customWidth="1"/>
    <col min="14" max="14" width="19.7109375" customWidth="1"/>
    <col min="15" max="15" width="12.57031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2" t="s">
        <v>8</v>
      </c>
      <c r="K1" s="2" t="s">
        <v>6</v>
      </c>
      <c r="L1" s="2" t="s">
        <v>9</v>
      </c>
      <c r="M1" s="2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>
        <v>50</v>
      </c>
      <c r="F2">
        <v>22.5</v>
      </c>
      <c r="G2" s="3">
        <f>E2*F2</f>
        <v>1125</v>
      </c>
      <c r="H2" t="s">
        <v>15</v>
      </c>
      <c r="J2" t="s">
        <v>12</v>
      </c>
      <c r="K2" s="3">
        <f ca="1">SUMIF(B1:B21,J2,G2:G21)</f>
        <v>2845.5</v>
      </c>
      <c r="L2" s="4">
        <f ca="1">K2/$K$6</f>
        <v>0.22753988245172124</v>
      </c>
      <c r="M2" t="str">
        <f ca="1">IF(L2&gt;=30%,"high","moderate")</f>
        <v>moderate</v>
      </c>
    </row>
    <row r="3" spans="1:14">
      <c r="A3" t="s">
        <v>16</v>
      </c>
      <c r="B3" t="s">
        <v>17</v>
      </c>
      <c r="C3" t="s">
        <v>13</v>
      </c>
      <c r="D3" t="s">
        <v>18</v>
      </c>
      <c r="E3">
        <v>200</v>
      </c>
      <c r="F3">
        <v>1.1499999999999999</v>
      </c>
      <c r="G3" s="3">
        <f t="shared" ref="G3:G21" si="0">E3*F3</f>
        <v>229.99999999999997</v>
      </c>
      <c r="H3" t="s">
        <v>15</v>
      </c>
      <c r="J3" t="s">
        <v>17</v>
      </c>
      <c r="K3" s="3">
        <f t="shared" ref="K3:K5" ca="1" si="1">SUMIF(B2:B22,J3,G3:G22)</f>
        <v>3205</v>
      </c>
      <c r="L3" s="4">
        <f ca="1">K3/$K$6</f>
        <v>0.25628723361720845</v>
      </c>
      <c r="M3" t="str">
        <f t="shared" ref="M3:M5" ca="1" si="2">IF(L3&gt;=30%,"high","moderate")</f>
        <v>moderate</v>
      </c>
    </row>
    <row r="4" spans="1:14">
      <c r="A4" t="s">
        <v>19</v>
      </c>
      <c r="B4" t="s">
        <v>20</v>
      </c>
      <c r="C4" t="s">
        <v>21</v>
      </c>
      <c r="D4" t="s">
        <v>22</v>
      </c>
      <c r="E4">
        <v>75</v>
      </c>
      <c r="F4">
        <v>8.5</v>
      </c>
      <c r="G4" s="3">
        <f t="shared" si="0"/>
        <v>637.5</v>
      </c>
      <c r="H4" t="s">
        <v>15</v>
      </c>
      <c r="J4" t="s">
        <v>20</v>
      </c>
      <c r="K4" s="3">
        <f t="shared" ca="1" si="1"/>
        <v>3785</v>
      </c>
      <c r="L4" s="4">
        <f ca="1">K4/$K$6</f>
        <v>0.30266682659629762</v>
      </c>
      <c r="M4" t="str">
        <f t="shared" ca="1" si="2"/>
        <v>high</v>
      </c>
    </row>
    <row r="5" spans="1:14">
      <c r="A5" t="s">
        <v>23</v>
      </c>
      <c r="B5" t="s">
        <v>24</v>
      </c>
      <c r="C5" t="s">
        <v>25</v>
      </c>
      <c r="D5" t="s">
        <v>26</v>
      </c>
      <c r="E5">
        <v>300</v>
      </c>
      <c r="F5">
        <v>2.25</v>
      </c>
      <c r="G5" s="3">
        <f t="shared" si="0"/>
        <v>675</v>
      </c>
      <c r="H5" t="s">
        <v>27</v>
      </c>
      <c r="J5" t="s">
        <v>24</v>
      </c>
      <c r="K5" s="3">
        <f t="shared" ca="1" si="1"/>
        <v>2670</v>
      </c>
      <c r="L5" s="4">
        <f ca="1">K5/$K$6</f>
        <v>0.21350605733477271</v>
      </c>
      <c r="M5" t="str">
        <f t="shared" ca="1" si="2"/>
        <v>moderate</v>
      </c>
    </row>
    <row r="6" spans="1:14">
      <c r="A6" t="s">
        <v>28</v>
      </c>
      <c r="B6" t="s">
        <v>12</v>
      </c>
      <c r="C6" t="s">
        <v>13</v>
      </c>
      <c r="D6" t="s">
        <v>29</v>
      </c>
      <c r="E6">
        <v>15</v>
      </c>
      <c r="F6">
        <v>58</v>
      </c>
      <c r="G6" s="3">
        <f t="shared" si="0"/>
        <v>870</v>
      </c>
      <c r="H6" t="s">
        <v>30</v>
      </c>
      <c r="J6" s="2" t="s">
        <v>31</v>
      </c>
      <c r="K6" s="3">
        <f ca="1">SUM(K2:K5)</f>
        <v>12505.5</v>
      </c>
    </row>
    <row r="7" spans="1:14">
      <c r="A7" t="s">
        <v>32</v>
      </c>
      <c r="B7" t="s">
        <v>17</v>
      </c>
      <c r="C7" t="s">
        <v>13</v>
      </c>
      <c r="D7" t="s">
        <v>33</v>
      </c>
      <c r="E7">
        <v>100</v>
      </c>
      <c r="F7">
        <v>4.25</v>
      </c>
      <c r="G7" s="3">
        <f t="shared" si="0"/>
        <v>425</v>
      </c>
      <c r="H7" t="s">
        <v>15</v>
      </c>
    </row>
    <row r="8" spans="1:14">
      <c r="A8" t="s">
        <v>34</v>
      </c>
      <c r="B8" t="s">
        <v>20</v>
      </c>
      <c r="C8" t="s">
        <v>21</v>
      </c>
      <c r="D8" t="s">
        <v>35</v>
      </c>
      <c r="E8">
        <v>50</v>
      </c>
      <c r="F8">
        <v>11.75</v>
      </c>
      <c r="G8" s="3">
        <f t="shared" si="0"/>
        <v>587.5</v>
      </c>
      <c r="H8" t="s">
        <v>30</v>
      </c>
      <c r="J8" s="2" t="s">
        <v>36</v>
      </c>
      <c r="K8" s="2" t="s">
        <v>6</v>
      </c>
    </row>
    <row r="9" spans="1:14">
      <c r="A9" t="s">
        <v>37</v>
      </c>
      <c r="B9" t="s">
        <v>24</v>
      </c>
      <c r="C9" t="s">
        <v>25</v>
      </c>
      <c r="D9" t="s">
        <v>38</v>
      </c>
      <c r="E9">
        <v>100</v>
      </c>
      <c r="F9">
        <v>5.0999999999999996</v>
      </c>
      <c r="G9" s="3">
        <f t="shared" si="0"/>
        <v>509.99999999999994</v>
      </c>
      <c r="H9" t="s">
        <v>15</v>
      </c>
      <c r="J9" t="s">
        <v>13</v>
      </c>
      <c r="K9" s="3">
        <f>SUMIF(C2:C21,J9,G2:G21)</f>
        <v>6640.5</v>
      </c>
    </row>
    <row r="10" spans="1:14">
      <c r="A10" t="s">
        <v>39</v>
      </c>
      <c r="B10" t="s">
        <v>12</v>
      </c>
      <c r="C10" t="s">
        <v>13</v>
      </c>
      <c r="D10" t="s">
        <v>40</v>
      </c>
      <c r="E10">
        <v>25</v>
      </c>
      <c r="F10">
        <v>9.5</v>
      </c>
      <c r="G10" s="3">
        <f t="shared" si="0"/>
        <v>237.5</v>
      </c>
      <c r="H10" t="s">
        <v>15</v>
      </c>
      <c r="J10" t="s">
        <v>21</v>
      </c>
      <c r="K10" s="3">
        <f t="shared" ref="K10:K11" si="3">SUMIF(C3:C22,J10,G3:G22)</f>
        <v>3205</v>
      </c>
    </row>
    <row r="11" spans="1:14">
      <c r="A11" t="s">
        <v>41</v>
      </c>
      <c r="B11" t="s">
        <v>17</v>
      </c>
      <c r="C11" t="s">
        <v>13</v>
      </c>
      <c r="D11" t="s">
        <v>42</v>
      </c>
      <c r="E11">
        <v>80</v>
      </c>
      <c r="F11">
        <v>3.1</v>
      </c>
      <c r="G11" s="3">
        <f t="shared" si="0"/>
        <v>248</v>
      </c>
      <c r="H11" t="s">
        <v>27</v>
      </c>
      <c r="J11" t="s">
        <v>25</v>
      </c>
      <c r="K11" s="3">
        <f t="shared" si="3"/>
        <v>3785</v>
      </c>
      <c r="M11" s="2" t="s">
        <v>43</v>
      </c>
    </row>
    <row r="12" spans="1:14">
      <c r="A12" t="s">
        <v>44</v>
      </c>
      <c r="B12" t="s">
        <v>20</v>
      </c>
      <c r="C12" t="s">
        <v>21</v>
      </c>
      <c r="D12" t="s">
        <v>45</v>
      </c>
      <c r="E12">
        <v>40</v>
      </c>
      <c r="F12">
        <v>14.25</v>
      </c>
      <c r="G12" s="3">
        <f t="shared" si="0"/>
        <v>570</v>
      </c>
      <c r="H12" t="s">
        <v>15</v>
      </c>
      <c r="M12" t="s">
        <v>46</v>
      </c>
      <c r="N12" t="s">
        <v>47</v>
      </c>
    </row>
    <row r="13" spans="1:14">
      <c r="A13" t="s">
        <v>48</v>
      </c>
      <c r="B13" t="s">
        <v>24</v>
      </c>
      <c r="C13" t="s">
        <v>25</v>
      </c>
      <c r="D13" t="s">
        <v>49</v>
      </c>
      <c r="E13">
        <v>50</v>
      </c>
      <c r="F13">
        <v>18</v>
      </c>
      <c r="G13" s="3">
        <f t="shared" si="0"/>
        <v>900</v>
      </c>
      <c r="H13" t="s">
        <v>30</v>
      </c>
      <c r="K13" t="s">
        <v>50</v>
      </c>
      <c r="M13" t="s">
        <v>1</v>
      </c>
      <c r="N13" t="str">
        <f>_xlfn.XLOOKUP(N12,A2:A21,B2:B21)</f>
        <v>Evergreen Industrial</v>
      </c>
    </row>
    <row r="14" spans="1:14">
      <c r="A14" t="s">
        <v>51</v>
      </c>
      <c r="B14" t="s">
        <v>12</v>
      </c>
      <c r="C14" t="s">
        <v>13</v>
      </c>
      <c r="D14" t="s">
        <v>52</v>
      </c>
      <c r="E14">
        <v>150</v>
      </c>
      <c r="F14">
        <v>2.75</v>
      </c>
      <c r="G14" s="3">
        <f t="shared" si="0"/>
        <v>412.5</v>
      </c>
      <c r="H14" t="s">
        <v>15</v>
      </c>
      <c r="J14" s="2" t="s">
        <v>1</v>
      </c>
      <c r="K14" s="2" t="s">
        <v>53</v>
      </c>
      <c r="M14" t="s">
        <v>54</v>
      </c>
      <c r="N14" t="str">
        <f>_xlfn.XLOOKUP(N12,A2:A21,D2:D21)</f>
        <v>Hard Hats</v>
      </c>
    </row>
    <row r="15" spans="1:14">
      <c r="A15" t="s">
        <v>55</v>
      </c>
      <c r="B15" t="s">
        <v>17</v>
      </c>
      <c r="C15" t="s">
        <v>13</v>
      </c>
      <c r="D15" t="s">
        <v>14</v>
      </c>
      <c r="E15">
        <v>75</v>
      </c>
      <c r="F15">
        <v>21.5</v>
      </c>
      <c r="G15" s="3">
        <f t="shared" si="0"/>
        <v>1612.5</v>
      </c>
      <c r="H15" t="s">
        <v>30</v>
      </c>
      <c r="J15" t="s">
        <v>12</v>
      </c>
      <c r="K15">
        <f>COUNTIF(B2:B21,J15)</f>
        <v>5</v>
      </c>
      <c r="M15" t="s">
        <v>6</v>
      </c>
      <c r="N15" s="3">
        <f>_xlfn.XLOOKUP(N12,A2:A21,G2:G21)</f>
        <v>585</v>
      </c>
    </row>
    <row r="16" spans="1:14">
      <c r="A16" t="s">
        <v>47</v>
      </c>
      <c r="B16" t="s">
        <v>20</v>
      </c>
      <c r="C16" t="s">
        <v>21</v>
      </c>
      <c r="D16" t="s">
        <v>56</v>
      </c>
      <c r="E16">
        <v>30</v>
      </c>
      <c r="F16">
        <v>19.5</v>
      </c>
      <c r="G16" s="3">
        <f t="shared" si="0"/>
        <v>585</v>
      </c>
      <c r="H16" t="s">
        <v>27</v>
      </c>
      <c r="J16" t="s">
        <v>17</v>
      </c>
      <c r="K16">
        <f>COUNTIF(B3:B22,J16)</f>
        <v>5</v>
      </c>
    </row>
    <row r="17" spans="1:11">
      <c r="A17" t="s">
        <v>57</v>
      </c>
      <c r="B17" t="s">
        <v>24</v>
      </c>
      <c r="C17" t="s">
        <v>25</v>
      </c>
      <c r="D17" t="s">
        <v>58</v>
      </c>
      <c r="E17">
        <v>200</v>
      </c>
      <c r="F17">
        <v>3.25</v>
      </c>
      <c r="G17" s="3">
        <f t="shared" si="0"/>
        <v>650</v>
      </c>
      <c r="H17" t="s">
        <v>15</v>
      </c>
      <c r="J17" t="s">
        <v>20</v>
      </c>
      <c r="K17">
        <f t="shared" ref="K17:K18" si="4">COUNTIF(B4:B23,J17)</f>
        <v>5</v>
      </c>
    </row>
    <row r="18" spans="1:11">
      <c r="A18" t="s">
        <v>59</v>
      </c>
      <c r="B18" t="s">
        <v>12</v>
      </c>
      <c r="C18" t="s">
        <v>13</v>
      </c>
      <c r="D18" t="s">
        <v>29</v>
      </c>
      <c r="E18">
        <v>20</v>
      </c>
      <c r="F18">
        <v>57.5</v>
      </c>
      <c r="G18" s="3">
        <f t="shared" si="0"/>
        <v>1150</v>
      </c>
      <c r="H18" t="s">
        <v>15</v>
      </c>
      <c r="J18" t="s">
        <v>24</v>
      </c>
      <c r="K18">
        <f t="shared" si="4"/>
        <v>5</v>
      </c>
    </row>
    <row r="19" spans="1:11">
      <c r="A19" t="s">
        <v>60</v>
      </c>
      <c r="B19" t="s">
        <v>17</v>
      </c>
      <c r="C19" t="s">
        <v>13</v>
      </c>
      <c r="D19" t="s">
        <v>18</v>
      </c>
      <c r="E19">
        <v>300</v>
      </c>
      <c r="F19">
        <v>1.1000000000000001</v>
      </c>
      <c r="G19" s="3">
        <f t="shared" si="0"/>
        <v>330</v>
      </c>
      <c r="H19" t="s">
        <v>15</v>
      </c>
    </row>
    <row r="20" spans="1:11">
      <c r="A20" t="s">
        <v>61</v>
      </c>
      <c r="B20" t="s">
        <v>20</v>
      </c>
      <c r="C20" t="s">
        <v>21</v>
      </c>
      <c r="D20" t="s">
        <v>22</v>
      </c>
      <c r="E20">
        <v>100</v>
      </c>
      <c r="F20">
        <v>8.25</v>
      </c>
      <c r="G20" s="3">
        <f t="shared" si="0"/>
        <v>825</v>
      </c>
      <c r="H20" t="s">
        <v>30</v>
      </c>
    </row>
    <row r="21" spans="1:11">
      <c r="A21" t="s">
        <v>62</v>
      </c>
      <c r="B21" t="s">
        <v>24</v>
      </c>
      <c r="C21" t="s">
        <v>25</v>
      </c>
      <c r="D21" t="s">
        <v>26</v>
      </c>
      <c r="E21">
        <v>500</v>
      </c>
      <c r="F21">
        <v>2.1</v>
      </c>
      <c r="G21" s="3">
        <f t="shared" si="0"/>
        <v>1050</v>
      </c>
      <c r="H21" t="s">
        <v>15</v>
      </c>
    </row>
  </sheetData>
  <conditionalFormatting sqref="M2:M5">
    <cfRule type="containsText" dxfId="3" priority="2" operator="containsText" text="high">
      <formula>NOT(ISERROR(SEARCH("high",M2)))</formula>
    </cfRule>
  </conditionalFormatting>
  <conditionalFormatting sqref="M2:M5">
    <cfRule type="containsText" dxfId="2" priority="1" operator="containsText" text="moderate">
      <formula>NOT(ISERROR(SEARCH("moderate",M2)))</formula>
    </cfRule>
  </conditionalFormatting>
  <dataValidations count="1">
    <dataValidation type="list" allowBlank="1" showInputMessage="1" showErrorMessage="1" sqref="N12" xr:uid="{15FBBF82-D344-470E-888D-90C91AF68AA2}">
      <formula1>$A$2:$A$21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2026-08-22T01:20:05Z</dcterms:created>
  <dcterms:modified xsi:type="dcterms:W3CDTF">2026-08-28T17:25:57Z</dcterms:modified>
  <cp:category/>
  <cp:contentStatus/>
</cp:coreProperties>
</file>