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 defaultThemeVersion="166925"/>
  <xr:revisionPtr revIDLastSave="0" documentId="8_{B107CABD-BFB0-467E-8DBA-31648F35F33B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Purchase Orders" sheetId="1" r:id="rId1"/>
    <sheet name="Dashboard" sheetId="2" r:id="rId2"/>
  </sheets>
  <calcPr calcId="191028"/>
  <pivotCaches>
    <pivotCache cacheId="20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7" i="2" l="1"/>
  <c r="K3" i="1"/>
  <c r="K4" i="1"/>
  <c r="K23" i="1"/>
  <c r="K24" i="1"/>
  <c r="K25" i="1"/>
  <c r="K26" i="1"/>
  <c r="K27" i="1"/>
  <c r="K28" i="1"/>
  <c r="K29" i="1"/>
  <c r="K30" i="1"/>
  <c r="K31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" i="1"/>
  <c r="B5" i="2"/>
  <c r="E3" i="2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2" i="1"/>
  <c r="H3" i="1"/>
  <c r="H3" i="2" l="1"/>
  <c r="B3" i="2"/>
</calcChain>
</file>

<file path=xl/sharedStrings.xml><?xml version="1.0" encoding="utf-8"?>
<sst xmlns="http://schemas.openxmlformats.org/spreadsheetml/2006/main" count="190" uniqueCount="94">
  <si>
    <t>PO number</t>
  </si>
  <si>
    <t>PO Date</t>
  </si>
  <si>
    <t>Supplier</t>
  </si>
  <si>
    <t>Category</t>
  </si>
  <si>
    <t>Item</t>
  </si>
  <si>
    <t>Quantity</t>
  </si>
  <si>
    <t>Unit Price</t>
  </si>
  <si>
    <t>Total Spend</t>
  </si>
  <si>
    <t>Status</t>
  </si>
  <si>
    <t>Delivery Days</t>
  </si>
  <si>
    <t>Month</t>
  </si>
  <si>
    <t>PO-3001</t>
  </si>
  <si>
    <t>Northstar Supplies</t>
  </si>
  <si>
    <t>Office Supplies</t>
  </si>
  <si>
    <t>Copy Paper</t>
  </si>
  <si>
    <t>Delivered</t>
  </si>
  <si>
    <t>PO-3002</t>
  </si>
  <si>
    <t>Pacific Office Co.</t>
  </si>
  <si>
    <t>Toner Cartridges</t>
  </si>
  <si>
    <t>PO-3003</t>
  </si>
  <si>
    <t>Evergreen Industrial</t>
  </si>
  <si>
    <t>Safety</t>
  </si>
  <si>
    <t>Safety Glasses</t>
  </si>
  <si>
    <t>PO-3004</t>
  </si>
  <si>
    <t>Cascade Packaging</t>
  </si>
  <si>
    <t>Packaging</t>
  </si>
  <si>
    <t>Shipping Boxes</t>
  </si>
  <si>
    <t>PO-3005</t>
  </si>
  <si>
    <t>Printer Paper</t>
  </si>
  <si>
    <t>PO-3006</t>
  </si>
  <si>
    <t>Maintenance</t>
  </si>
  <si>
    <t>Industrial Lubricant</t>
  </si>
  <si>
    <t>PO-3007</t>
  </si>
  <si>
    <t>Technology</t>
  </si>
  <si>
    <t>Wireless Keyboards</t>
  </si>
  <si>
    <t>PO-3008</t>
  </si>
  <si>
    <t>Bubble Wrap</t>
  </si>
  <si>
    <t>PO-3009</t>
  </si>
  <si>
    <t>Work Gloves</t>
  </si>
  <si>
    <t>PO-3010</t>
  </si>
  <si>
    <t>Power Tools</t>
  </si>
  <si>
    <t>PO-3011</t>
  </si>
  <si>
    <t>Desk Organizers</t>
  </si>
  <si>
    <t>PO-3012</t>
  </si>
  <si>
    <t>Packing Tape</t>
  </si>
  <si>
    <t>PO-3013</t>
  </si>
  <si>
    <t>USB Hubs</t>
  </si>
  <si>
    <t>PO-3014</t>
  </si>
  <si>
    <t>Hard Hats</t>
  </si>
  <si>
    <t>PO-3015</t>
  </si>
  <si>
    <t>Monitors</t>
  </si>
  <si>
    <t>PO-3016</t>
  </si>
  <si>
    <t>Stretch Film</t>
  </si>
  <si>
    <t>PO-3017</t>
  </si>
  <si>
    <t>Notebooks</t>
  </si>
  <si>
    <t>PO-3018</t>
  </si>
  <si>
    <t>Power Cables</t>
  </si>
  <si>
    <t>PO-3019</t>
  </si>
  <si>
    <t>Printer Ink</t>
  </si>
  <si>
    <t>Pending</t>
  </si>
  <si>
    <t>PO-3020</t>
  </si>
  <si>
    <t>Shipping Labels</t>
  </si>
  <si>
    <t>PO-3021</t>
  </si>
  <si>
    <t>Safety Vests</t>
  </si>
  <si>
    <t>PO-3022</t>
  </si>
  <si>
    <t>Laptops</t>
  </si>
  <si>
    <t>PO-3023</t>
  </si>
  <si>
    <t>Staplers</t>
  </si>
  <si>
    <t>PO-3024</t>
  </si>
  <si>
    <t>Pallet Wrap</t>
  </si>
  <si>
    <t>PO-3025</t>
  </si>
  <si>
    <t>USB Drives</t>
  </si>
  <si>
    <t>PO-3026</t>
  </si>
  <si>
    <t>Drill Bits</t>
  </si>
  <si>
    <t>PO-3027</t>
  </si>
  <si>
    <t>Docking Stations</t>
  </si>
  <si>
    <t>PO-3028</t>
  </si>
  <si>
    <t>PO-3029</t>
  </si>
  <si>
    <t>Binders</t>
  </si>
  <si>
    <t>PO-3030</t>
  </si>
  <si>
    <t>Work Boots</t>
  </si>
  <si>
    <t>PROCUREMENT SPEND DASHBOARD</t>
  </si>
  <si>
    <t>Total POs</t>
  </si>
  <si>
    <t>Average PO Value</t>
  </si>
  <si>
    <t>Pending POs</t>
  </si>
  <si>
    <t>Sum of Total Spend</t>
  </si>
  <si>
    <t xml:space="preserve">Delivery Days </t>
  </si>
  <si>
    <t>Average Delivery Days</t>
  </si>
  <si>
    <t>Jan</t>
  </si>
  <si>
    <t>Feb</t>
  </si>
  <si>
    <t>Mar</t>
  </si>
  <si>
    <t>Apr</t>
  </si>
  <si>
    <t>Grand Total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</si>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</sst>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$-409]* #,##0.00_);_([$$-409]* \(#,##0.00\);_([$$-409]* &quot;-&quot;??_);_(@_)"/>
  </numFmts>
  <fonts count="4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14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3" borderId="0" xfId="0" applyFill="1"/>
    <xf numFmtId="164" fontId="0" fillId="3" borderId="0" xfId="0" applyNumberFormat="1" applyFill="1"/>
    <xf numFmtId="0" fontId="3" fillId="4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2"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[Procurement Spend Dashboard.xlsx]Dashboard!PivotTable1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Spend by Supplier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Dashboard!$B$7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Dashboard!$A$8:$A$12</c:f>
              <c:strCache>
                <c:ptCount val="4"/>
                <c:pt idx="0">
                  <c:v>Evergreen Industrial</c:v>
                </c:pt>
                <c:pt idx="1">
                  <c:v>Pacific Office Co.</c:v>
                </c:pt>
                <c:pt idx="2">
                  <c:v>Cascade Packaging</c:v>
                </c:pt>
                <c:pt idx="3">
                  <c:v>Northstar Supplies</c:v>
                </c:pt>
              </c:strCache>
            </c:strRef>
          </c:cat>
          <c:val>
            <c:numRef>
              <c:f>Dashboard!$B$8:$B$12</c:f>
              <c:numCache>
                <c:formatCode>_([$$-409]* #,##0.00_);_([$$-409]* \(#,##0.00\);_([$$-409]* "-"??_);_(@_)</c:formatCode>
                <c:ptCount val="4"/>
                <c:pt idx="0">
                  <c:v>13310</c:v>
                </c:pt>
                <c:pt idx="1">
                  <c:v>8587.5</c:v>
                </c:pt>
                <c:pt idx="2">
                  <c:v>7277.5</c:v>
                </c:pt>
                <c:pt idx="3">
                  <c:v>6955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114-4434-AB70-7F17B5B0D1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1438614535"/>
        <c:axId val="1438616583"/>
      </c:barChart>
      <c:catAx>
        <c:axId val="143861453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Supplier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8616583"/>
        <c:crosses val="autoZero"/>
        <c:auto val="1"/>
        <c:lblAlgn val="ctr"/>
        <c:lblOffset val="100"/>
        <c:noMultiLvlLbl val="0"/>
      </c:catAx>
      <c:valAx>
        <c:axId val="14386165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Spend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8614535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[Procurement Spend Dashboard.xlsx]Dashboard!PivotTable2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Spend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Dashboard!$F$7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Dashboard!$E$8:$E$13</c:f>
              <c:strCache>
                <c:ptCount val="5"/>
                <c:pt idx="0">
                  <c:v>Maintenance</c:v>
                </c:pt>
                <c:pt idx="1">
                  <c:v>Office Supplies</c:v>
                </c:pt>
                <c:pt idx="2">
                  <c:v>Packaging</c:v>
                </c:pt>
                <c:pt idx="3">
                  <c:v>Safety</c:v>
                </c:pt>
                <c:pt idx="4">
                  <c:v>Technology</c:v>
                </c:pt>
              </c:strCache>
            </c:strRef>
          </c:cat>
          <c:val>
            <c:numRef>
              <c:f>Dashboard!$F$8:$F$13</c:f>
              <c:numCache>
                <c:formatCode>_([$$-409]* #,##0.00_);_([$$-409]* \(#,##0.00\);_([$$-409]* "-"??_);_(@_)</c:formatCode>
                <c:ptCount val="5"/>
                <c:pt idx="0">
                  <c:v>4965</c:v>
                </c:pt>
                <c:pt idx="1">
                  <c:v>8117.5</c:v>
                </c:pt>
                <c:pt idx="2">
                  <c:v>7277.5</c:v>
                </c:pt>
                <c:pt idx="3">
                  <c:v>5790</c:v>
                </c:pt>
                <c:pt idx="4">
                  <c:v>9980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75D-4D91-A696-6CB918EB22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1235866631"/>
        <c:axId val="1235868679"/>
      </c:barChart>
      <c:catAx>
        <c:axId val="123586663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5868679"/>
        <c:crosses val="autoZero"/>
        <c:auto val="1"/>
        <c:lblAlgn val="ctr"/>
        <c:lblOffset val="100"/>
        <c:noMultiLvlLbl val="0"/>
      </c:catAx>
      <c:valAx>
        <c:axId val="1235868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Spend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58666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[Procurement Spend Dashboard.xlsx]Dashboard!PivotTable3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Spend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Dashboard!$I$7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Dashboard!$H$8:$H$13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Dashboard!$I$8:$I$13</c:f>
              <c:numCache>
                <c:formatCode>_([$$-409]* #,##0.00_);_([$$-409]* \(#,##0.00\);_([$$-409]* "-"??_);_(@_)</c:formatCode>
                <c:ptCount val="5"/>
                <c:pt idx="0">
                  <c:v>8915</c:v>
                </c:pt>
                <c:pt idx="1">
                  <c:v>5595</c:v>
                </c:pt>
                <c:pt idx="2">
                  <c:v>9272.5</c:v>
                </c:pt>
                <c:pt idx="3">
                  <c:v>8042.5</c:v>
                </c:pt>
                <c:pt idx="4">
                  <c:v>4305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98-4DA2-8715-B73B9A7A36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49152264"/>
        <c:axId val="949154312"/>
      </c:lineChart>
      <c:catAx>
        <c:axId val="949152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9154312"/>
        <c:crosses val="autoZero"/>
        <c:auto val="1"/>
        <c:lblAlgn val="ctr"/>
        <c:lblOffset val="100"/>
        <c:noMultiLvlLbl val="0"/>
      </c:catAx>
      <c:valAx>
        <c:axId val="949154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9152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15</xdr:row>
      <xdr:rowOff>0</xdr:rowOff>
    </xdr:from>
    <xdr:to>
      <xdr:col>4</xdr:col>
      <xdr:colOff>533400</xdr:colOff>
      <xdr:row>30</xdr:row>
      <xdr:rowOff>180975</xdr:rowOff>
    </xdr:to>
    <xdr:graphicFrame macro="">
      <xdr:nvGraphicFramePr>
        <xdr:cNvPr id="4" name="Chart 3" descr="Chart type: Clustered Bar. 'Total Spend' by 'Supplier'&#10;&#10;Description automatically generated">
          <a:extLst>
            <a:ext uri="{FF2B5EF4-FFF2-40B4-BE49-F238E27FC236}">
              <a16:creationId xmlns:a16="http://schemas.microsoft.com/office/drawing/2014/main" id="{ADDC29DE-A72C-F15D-8B09-B4F9DEE111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771525</xdr:colOff>
      <xdr:row>14</xdr:row>
      <xdr:rowOff>180975</xdr:rowOff>
    </xdr:from>
    <xdr:to>
      <xdr:col>8</xdr:col>
      <xdr:colOff>628650</xdr:colOff>
      <xdr:row>31</xdr:row>
      <xdr:rowOff>9525</xdr:rowOff>
    </xdr:to>
    <xdr:graphicFrame macro="">
      <xdr:nvGraphicFramePr>
        <xdr:cNvPr id="2" name="Chart 1" descr="Chart type: Clustered Bar. 'Total Spend' by 'Category'&#10;&#10;Description automatically generated">
          <a:extLst>
            <a:ext uri="{FF2B5EF4-FFF2-40B4-BE49-F238E27FC236}">
              <a16:creationId xmlns:a16="http://schemas.microsoft.com/office/drawing/2014/main" id="{F0F08575-6A69-A3D4-2E9A-2C82617C6175}"/>
            </a:ext>
            <a:ext uri="{147F2762-F138-4A5C-976F-8EAC2B608ADB}">
              <a16:predDERef xmlns:a16="http://schemas.microsoft.com/office/drawing/2014/main" pred="{ADDC29DE-A72C-F15D-8B09-B4F9DEE111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647700</xdr:colOff>
      <xdr:row>31</xdr:row>
      <xdr:rowOff>180975</xdr:rowOff>
    </xdr:from>
    <xdr:to>
      <xdr:col>6</xdr:col>
      <xdr:colOff>771525</xdr:colOff>
      <xdr:row>47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7959E7F-07DF-E4C2-5036-2C7122F74261}"/>
            </a:ext>
            <a:ext uri="{147F2762-F138-4A5C-976F-8EAC2B608ADB}">
              <a16:predDERef xmlns:a16="http://schemas.microsoft.com/office/drawing/2014/main" pred="{F0F08575-6A69-A3D4-2E9A-2C82617C61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67.535932986109" createdVersion="8" refreshedVersion="8" minRefreshableVersion="3" recordCount="30" xr:uid="{DE5B9278-1040-4AFA-A064-D62F77FE435F}">
  <cacheSource type="worksheet">
    <worksheetSource name="PurchaseOrders"/>
  </cacheSource>
  <cacheFields count="11">
    <cacheField name="PO number" numFmtId="0">
      <sharedItems/>
    </cacheField>
    <cacheField name="PO Date" numFmtId="14">
      <sharedItems containsSemiMixedTypes="0" containsNonDate="0" containsDate="1" containsString="0" minDate="2026-01-05T00:00:00" maxDate="2026-05-19T00:00:00" count="30">
        <d v="2026-01-05T00:00:00"/>
        <d v="2026-01-08T00:00:00"/>
        <d v="2026-01-12T00:00:00"/>
        <d v="2026-01-15T00:00:00"/>
        <d v="2026-01-19T00:00:00"/>
        <d v="2026-01-23T00:00:00"/>
        <d v="2026-01-28T00:00:00"/>
        <d v="2026-02-02T00:00:00"/>
        <d v="2026-02-07T00:00:00"/>
        <d v="2026-02-11T00:00:00"/>
        <d v="2026-02-16T00:00:00"/>
        <d v="2026-02-20T00:00:00"/>
        <d v="2026-02-25T00:00:00"/>
        <d v="2026-03-01T00:00:00"/>
        <d v="2026-03-06T00:00:00"/>
        <d v="2026-03-10T00:00:00"/>
        <d v="2026-03-15T00:00:00"/>
        <d v="2026-03-19T00:00:00"/>
        <d v="2026-03-24T00:00:00"/>
        <d v="2026-03-29T00:00:00"/>
        <d v="2026-04-03T00:00:00"/>
        <d v="2026-04-08T00:00:00"/>
        <d v="2026-04-12T00:00:00"/>
        <d v="2026-04-17T00:00:00"/>
        <d v="2026-04-22T00:00:00"/>
        <d v="2026-04-27T00:00:00"/>
        <d v="2026-05-02T00:00:00"/>
        <d v="2026-05-07T00:00:00"/>
        <d v="2026-05-12T00:00:00"/>
        <d v="2026-05-18T00:00:00"/>
      </sharedItems>
    </cacheField>
    <cacheField name="Supplier" numFmtId="0">
      <sharedItems count="4">
        <s v="Northstar Supplies"/>
        <s v="Pacific Office Co."/>
        <s v="Evergreen Industrial"/>
        <s v="Cascade Packaging"/>
      </sharedItems>
    </cacheField>
    <cacheField name="Category" numFmtId="0">
      <sharedItems count="5">
        <s v="Office Supplies"/>
        <s v="Safety"/>
        <s v="Packaging"/>
        <s v="Maintenance"/>
        <s v="Technology"/>
      </sharedItems>
    </cacheField>
    <cacheField name="Item" numFmtId="0">
      <sharedItems/>
    </cacheField>
    <cacheField name="Quantity" numFmtId="0">
      <sharedItems containsSemiMixedTypes="0" containsString="0" containsNumber="1" containsInteger="1" minValue="5" maxValue="200"/>
    </cacheField>
    <cacheField name="Unit Price" numFmtId="0">
      <sharedItems containsSemiMixedTypes="0" containsString="0" containsNumber="1" minValue="4.25" maxValue="850"/>
    </cacheField>
    <cacheField name="Total Spend" numFmtId="164">
      <sharedItems containsSemiMixedTypes="0" containsString="0" containsNumber="1" minValue="312.5" maxValue="4250"/>
    </cacheField>
    <cacheField name="Status" numFmtId="0">
      <sharedItems/>
    </cacheField>
    <cacheField name="Delivery Days" numFmtId="0">
      <sharedItems containsSemiMixedTypes="0" containsString="0" containsNumber="1" containsInteger="1" minValue="3" maxValue="14" count="11">
        <n v="5"/>
        <n v="7"/>
        <n v="4"/>
        <n v="6"/>
        <n v="8"/>
        <n v="9"/>
        <n v="3"/>
        <n v="10"/>
        <n v="12"/>
        <n v="14"/>
        <n v="11"/>
      </sharedItems>
    </cacheField>
    <cacheField name="Delivery Days " numFmtId="0">
      <sharedItems count="5">
        <s v="Jan"/>
        <s v="Feb"/>
        <s v="Mar"/>
        <s v="Apr"/>
        <s v="May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s v="PO-3001"/>
    <x v="0"/>
    <x v="0"/>
    <x v="0"/>
    <s v="Copy Paper"/>
    <n v="50"/>
    <n v="28.5"/>
    <n v="1425"/>
    <s v="Delivered"/>
    <x v="0"/>
    <x v="0"/>
  </r>
  <r>
    <s v="PO-3002"/>
    <x v="1"/>
    <x v="1"/>
    <x v="0"/>
    <s v="Toner Cartridges"/>
    <n v="12"/>
    <n v="145"/>
    <n v="1740"/>
    <s v="Delivered"/>
    <x v="1"/>
    <x v="0"/>
  </r>
  <r>
    <s v="PO-3003"/>
    <x v="2"/>
    <x v="2"/>
    <x v="1"/>
    <s v="Safety Glasses"/>
    <n v="100"/>
    <n v="8.75"/>
    <n v="875"/>
    <s v="Delivered"/>
    <x v="2"/>
    <x v="0"/>
  </r>
  <r>
    <s v="PO-3004"/>
    <x v="3"/>
    <x v="3"/>
    <x v="2"/>
    <s v="Shipping Boxes"/>
    <n v="200"/>
    <n v="4.25"/>
    <n v="850"/>
    <s v="Delivered"/>
    <x v="3"/>
    <x v="0"/>
  </r>
  <r>
    <s v="PO-3005"/>
    <x v="4"/>
    <x v="0"/>
    <x v="0"/>
    <s v="Printer Paper"/>
    <n v="75"/>
    <n v="24"/>
    <n v="1800"/>
    <s v="Delivered"/>
    <x v="0"/>
    <x v="0"/>
  </r>
  <r>
    <s v="PO-3006"/>
    <x v="5"/>
    <x v="2"/>
    <x v="3"/>
    <s v="Industrial Lubricant"/>
    <n v="30"/>
    <n v="42.5"/>
    <n v="1275"/>
    <s v="Delivered"/>
    <x v="4"/>
    <x v="0"/>
  </r>
  <r>
    <s v="PO-3007"/>
    <x v="6"/>
    <x v="1"/>
    <x v="4"/>
    <s v="Wireless Keyboards"/>
    <n v="25"/>
    <n v="38"/>
    <n v="950"/>
    <s v="Delivered"/>
    <x v="3"/>
    <x v="0"/>
  </r>
  <r>
    <s v="PO-3008"/>
    <x v="7"/>
    <x v="3"/>
    <x v="2"/>
    <s v="Bubble Wrap"/>
    <n v="40"/>
    <n v="32"/>
    <n v="1280"/>
    <s v="Delivered"/>
    <x v="2"/>
    <x v="1"/>
  </r>
  <r>
    <s v="PO-3009"/>
    <x v="8"/>
    <x v="0"/>
    <x v="1"/>
    <s v="Work Gloves"/>
    <n v="150"/>
    <n v="6.5"/>
    <n v="975"/>
    <s v="Delivered"/>
    <x v="0"/>
    <x v="1"/>
  </r>
  <r>
    <s v="PO-3010"/>
    <x v="9"/>
    <x v="2"/>
    <x v="3"/>
    <s v="Power Tools"/>
    <n v="8"/>
    <n v="185"/>
    <n v="1480"/>
    <s v="Delivered"/>
    <x v="5"/>
    <x v="1"/>
  </r>
  <r>
    <s v="PO-3011"/>
    <x v="10"/>
    <x v="1"/>
    <x v="0"/>
    <s v="Desk Organizers"/>
    <n v="30"/>
    <n v="18.5"/>
    <n v="555"/>
    <s v="Delivered"/>
    <x v="3"/>
    <x v="1"/>
  </r>
  <r>
    <s v="PO-3012"/>
    <x v="11"/>
    <x v="3"/>
    <x v="2"/>
    <s v="Packing Tape"/>
    <n v="100"/>
    <n v="7.25"/>
    <n v="725"/>
    <s v="Delivered"/>
    <x v="6"/>
    <x v="1"/>
  </r>
  <r>
    <s v="PO-3013"/>
    <x v="12"/>
    <x v="0"/>
    <x v="4"/>
    <s v="USB Hubs"/>
    <n v="20"/>
    <n v="29"/>
    <n v="580"/>
    <s v="Delivered"/>
    <x v="0"/>
    <x v="1"/>
  </r>
  <r>
    <s v="PO-3014"/>
    <x v="13"/>
    <x v="2"/>
    <x v="1"/>
    <s v="Hard Hats"/>
    <n v="60"/>
    <n v="22"/>
    <n v="1320"/>
    <s v="Delivered"/>
    <x v="1"/>
    <x v="2"/>
  </r>
  <r>
    <s v="PO-3015"/>
    <x v="14"/>
    <x v="1"/>
    <x v="4"/>
    <s v="Monitors"/>
    <n v="10"/>
    <n v="225"/>
    <n v="2250"/>
    <s v="Delivered"/>
    <x v="4"/>
    <x v="2"/>
  </r>
  <r>
    <s v="PO-3016"/>
    <x v="15"/>
    <x v="3"/>
    <x v="2"/>
    <s v="Stretch Film"/>
    <n v="50"/>
    <n v="28"/>
    <n v="1400"/>
    <s v="Delivered"/>
    <x v="0"/>
    <x v="2"/>
  </r>
  <r>
    <s v="PO-3017"/>
    <x v="16"/>
    <x v="0"/>
    <x v="0"/>
    <s v="Notebooks"/>
    <n v="100"/>
    <n v="5.75"/>
    <n v="575"/>
    <s v="Delivered"/>
    <x v="2"/>
    <x v="2"/>
  </r>
  <r>
    <s v="PO-3018"/>
    <x v="17"/>
    <x v="2"/>
    <x v="3"/>
    <s v="Power Cables"/>
    <n v="40"/>
    <n v="31.5"/>
    <n v="1260"/>
    <s v="Delivered"/>
    <x v="7"/>
    <x v="2"/>
  </r>
  <r>
    <s v="PO-3019"/>
    <x v="18"/>
    <x v="1"/>
    <x v="0"/>
    <s v="Printer Ink"/>
    <n v="15"/>
    <n v="92"/>
    <n v="1380"/>
    <s v="Pending"/>
    <x v="8"/>
    <x v="2"/>
  </r>
  <r>
    <s v="PO-3020"/>
    <x v="19"/>
    <x v="3"/>
    <x v="2"/>
    <s v="Shipping Labels"/>
    <n v="75"/>
    <n v="14.5"/>
    <n v="1087.5"/>
    <s v="Delivered"/>
    <x v="3"/>
    <x v="2"/>
  </r>
  <r>
    <s v="PO-3021"/>
    <x v="20"/>
    <x v="0"/>
    <x v="1"/>
    <s v="Safety Vests"/>
    <n v="40"/>
    <n v="18"/>
    <n v="720"/>
    <s v="Delivered"/>
    <x v="0"/>
    <x v="3"/>
  </r>
  <r>
    <s v="PO-3022"/>
    <x v="21"/>
    <x v="2"/>
    <x v="4"/>
    <s v="Laptops"/>
    <n v="5"/>
    <n v="850"/>
    <n v="4250"/>
    <s v="Delivered"/>
    <x v="9"/>
    <x v="3"/>
  </r>
  <r>
    <s v="PO-3023"/>
    <x v="22"/>
    <x v="1"/>
    <x v="0"/>
    <s v="Staplers"/>
    <n v="25"/>
    <n v="12.5"/>
    <n v="312.5"/>
    <s v="Delivered"/>
    <x v="2"/>
    <x v="3"/>
  </r>
  <r>
    <s v="PO-3024"/>
    <x v="23"/>
    <x v="3"/>
    <x v="2"/>
    <s v="Pallet Wrap"/>
    <n v="60"/>
    <n v="21"/>
    <n v="1260"/>
    <s v="Delivered"/>
    <x v="1"/>
    <x v="3"/>
  </r>
  <r>
    <s v="PO-3025"/>
    <x v="24"/>
    <x v="0"/>
    <x v="4"/>
    <s v="USB Drives"/>
    <n v="50"/>
    <n v="11"/>
    <n v="550"/>
    <s v="Delivered"/>
    <x v="6"/>
    <x v="3"/>
  </r>
  <r>
    <s v="PO-3026"/>
    <x v="25"/>
    <x v="2"/>
    <x v="3"/>
    <s v="Drill Bits"/>
    <n v="100"/>
    <n v="9.5"/>
    <n v="950"/>
    <s v="Delivered"/>
    <x v="4"/>
    <x v="3"/>
  </r>
  <r>
    <s v="PO-3027"/>
    <x v="26"/>
    <x v="1"/>
    <x v="4"/>
    <s v="Docking Stations"/>
    <n v="8"/>
    <n v="175"/>
    <n v="1400"/>
    <s v="Pending"/>
    <x v="10"/>
    <x v="4"/>
  </r>
  <r>
    <s v="PO-3028"/>
    <x v="27"/>
    <x v="3"/>
    <x v="2"/>
    <s v="Shipping Boxes"/>
    <n v="150"/>
    <n v="4.5"/>
    <n v="675"/>
    <s v="Delivered"/>
    <x v="0"/>
    <x v="4"/>
  </r>
  <r>
    <s v="PO-3029"/>
    <x v="28"/>
    <x v="0"/>
    <x v="0"/>
    <s v="Binders"/>
    <n v="40"/>
    <n v="8.25"/>
    <n v="330"/>
    <s v="Delivered"/>
    <x v="2"/>
    <x v="4"/>
  </r>
  <r>
    <s v="PO-3030"/>
    <x v="29"/>
    <x v="2"/>
    <x v="1"/>
    <s v="Work Boots"/>
    <n v="20"/>
    <n v="95"/>
    <n v="1900"/>
    <s v="Delivered"/>
    <x v="5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47E3FB-0D53-4BE3-886B-044656CD2708}" name="PivotTable3" cacheId="20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H7:I13" firstHeaderRow="1" firstDataRow="1" firstDataCol="1"/>
  <pivotFields count="11">
    <pivotField compact="0" outline="0" showAll="0"/>
    <pivotField compact="0" numFmtId="14" outline="0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164" outline="0" showAll="0"/>
    <pivotField compact="0" outline="0" showAll="0"/>
    <pivotField compact="0" outline="0" showAll="0">
      <items count="12">
        <item x="6"/>
        <item x="2"/>
        <item x="0"/>
        <item x="3"/>
        <item x="1"/>
        <item x="4"/>
        <item x="5"/>
        <item x="7"/>
        <item x="10"/>
        <item x="8"/>
        <item x="9"/>
        <item t="default"/>
      </items>
    </pivotField>
    <pivotField axis="axisRow" compact="0" outline="0" showAll="0">
      <items count="6">
        <item x="0"/>
        <item x="1"/>
        <item x="2"/>
        <item x="3"/>
        <item x="4"/>
        <item t="default"/>
      </items>
    </pivotField>
  </pivotFields>
  <rowFields count="1">
    <field x="1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 Spend" fld="7" baseField="0" baseItem="0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EA5AA8-22D1-4AC1-98F5-8C356F44E74B}" name="PivotTable2" cacheId="20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E7:F13" firstHeaderRow="1" firstDataRow="1" firstDataCol="1"/>
  <pivotFields count="11">
    <pivotField compact="0" outline="0" showAll="0"/>
    <pivotField compact="0" numFmtId="14" outline="0" showAll="0"/>
    <pivotField compact="0" outline="0" showAll="0"/>
    <pivotField axis="axisRow" compact="0" outline="0" showAll="0">
      <items count="6">
        <item x="3"/>
        <item x="0"/>
        <item x="2"/>
        <item x="1"/>
        <item x="4"/>
        <item t="default"/>
      </items>
    </pivotField>
    <pivotField compact="0" outline="0" showAll="0"/>
    <pivotField compact="0" outline="0" showAll="0"/>
    <pivotField compact="0" outline="0" showAll="0"/>
    <pivotField dataField="1" compact="0" numFmtId="164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 Spend" fld="7" baseField="0" baseItem="0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D25FF8-06E1-4596-92E4-7F76F2FD7E87}" name="PivotTable1" cacheId="20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7:B12" firstHeaderRow="1" firstDataRow="1" firstDataCol="1"/>
  <pivotFields count="11">
    <pivotField compact="0" outline="0" showAll="0"/>
    <pivotField compact="0" numFmtId="14" outline="0" showAll="0"/>
    <pivotField axis="axisRow" compact="0" outline="0" showAll="0" sortType="descending">
      <items count="5">
        <item x="3"/>
        <item x="2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dataField="1" compact="0" numFmtId="164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5">
    <i>
      <x v="1"/>
    </i>
    <i>
      <x v="3"/>
    </i>
    <i>
      <x/>
    </i>
    <i>
      <x v="2"/>
    </i>
    <i t="grand">
      <x/>
    </i>
  </rowItems>
  <colItems count="1">
    <i/>
  </colItems>
  <dataFields count="1">
    <dataField name="Sum of Total Spend" fld="7" baseField="0" baseItem="0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32061D-BC75-43EE-91D8-C36FC9045516}" name="PurchaseOrders" displayName="PurchaseOrders" ref="A1:K31" totalsRowShown="0" headerRowDxfId="1">
  <autoFilter ref="A1:K31" xr:uid="{E432061D-BC75-43EE-91D8-C36FC9045516}"/>
  <tableColumns count="11">
    <tableColumn id="1" xr3:uid="{0B52682E-49C4-4B1A-BED2-A47364B8A574}" name="PO number"/>
    <tableColumn id="2" xr3:uid="{F798759B-0EED-4A16-B403-6B6C375F7A26}" name="PO Date"/>
    <tableColumn id="3" xr3:uid="{15C3F13B-2873-4545-8C20-57CDFA62D24B}" name="Supplier"/>
    <tableColumn id="4" xr3:uid="{0EEEE563-AACA-422E-B189-4F32E8A5C2B2}" name="Category"/>
    <tableColumn id="5" xr3:uid="{E160419A-E8EF-4820-BE92-E876C2CBE702}" name="Item"/>
    <tableColumn id="6" xr3:uid="{340F1CE8-26A1-4BC0-9CA1-A8A6574D53ED}" name="Quantity"/>
    <tableColumn id="7" xr3:uid="{5CEDAA45-D1E1-41E7-9D5B-4FDFB6D64656}" name="Unit Price"/>
    <tableColumn id="8" xr3:uid="{8AB5409F-705C-4829-9CD2-438DF962A51C}" name="Total Spend" dataDxfId="0">
      <calculatedColumnFormula>F2*G2</calculatedColumnFormula>
    </tableColumn>
    <tableColumn id="9" xr3:uid="{9F33A2B1-AAC3-4444-82EF-B86250D9A6C7}" name="Status"/>
    <tableColumn id="10" xr3:uid="{D5F26CBC-7434-402F-A626-D7B2B5BC86C4}" name="Delivery Days"/>
    <tableColumn id="11" xr3:uid="{1D76CF1E-9103-4A26-B44F-42147C2AFA88}" name="Month">
      <calculatedColumnFormula>TEXT(B2,"mmm")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"/>
  <sheetViews>
    <sheetView workbookViewId="0">
      <selection activeCell="J2" sqref="J2"/>
    </sheetView>
  </sheetViews>
  <sheetFormatPr defaultRowHeight="15"/>
  <cols>
    <col min="1" max="1" width="17.7109375" customWidth="1"/>
    <col min="2" max="2" width="14.85546875" customWidth="1"/>
    <col min="3" max="3" width="22.85546875" customWidth="1"/>
    <col min="4" max="4" width="18.85546875" customWidth="1"/>
    <col min="5" max="5" width="21.28515625" customWidth="1"/>
    <col min="6" max="6" width="14.42578125" customWidth="1"/>
    <col min="7" max="7" width="15.140625" customWidth="1"/>
    <col min="8" max="8" width="17.5703125" customWidth="1"/>
    <col min="9" max="9" width="13.42578125" customWidth="1"/>
    <col min="10" max="10" width="18" customWidth="1"/>
    <col min="11" max="11" width="18.5703125" customWidth="1"/>
    <col min="12" max="12" width="18.28515625" customWidth="1"/>
    <col min="13" max="13" width="29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s="2">
        <v>46027</v>
      </c>
      <c r="C2" t="s">
        <v>12</v>
      </c>
      <c r="D2" t="s">
        <v>13</v>
      </c>
      <c r="E2" t="s">
        <v>14</v>
      </c>
      <c r="F2">
        <v>50</v>
      </c>
      <c r="G2">
        <v>28.5</v>
      </c>
      <c r="H2" s="3">
        <f t="shared" ref="H2:H31" si="0">F2*G2</f>
        <v>1425</v>
      </c>
      <c r="I2" t="s">
        <v>15</v>
      </c>
      <c r="J2">
        <v>5</v>
      </c>
      <c r="K2" t="str">
        <f>TEXT(B2,"mmm")</f>
        <v>Jan</v>
      </c>
    </row>
    <row r="3" spans="1:11">
      <c r="A3" t="s">
        <v>16</v>
      </c>
      <c r="B3" s="2">
        <v>46030</v>
      </c>
      <c r="C3" t="s">
        <v>17</v>
      </c>
      <c r="D3" t="s">
        <v>13</v>
      </c>
      <c r="E3" t="s">
        <v>18</v>
      </c>
      <c r="F3">
        <v>12</v>
      </c>
      <c r="G3">
        <v>145</v>
      </c>
      <c r="H3" s="3">
        <f t="shared" si="0"/>
        <v>1740</v>
      </c>
      <c r="I3" t="s">
        <v>15</v>
      </c>
      <c r="J3">
        <v>7</v>
      </c>
      <c r="K3" t="str">
        <f>TEXT(B3,"mmm")</f>
        <v>Jan</v>
      </c>
    </row>
    <row r="4" spans="1:11">
      <c r="A4" t="s">
        <v>19</v>
      </c>
      <c r="B4" s="2">
        <v>46034</v>
      </c>
      <c r="C4" t="s">
        <v>20</v>
      </c>
      <c r="D4" t="s">
        <v>21</v>
      </c>
      <c r="E4" t="s">
        <v>22</v>
      </c>
      <c r="F4">
        <v>100</v>
      </c>
      <c r="G4">
        <v>8.75</v>
      </c>
      <c r="H4" s="3">
        <f t="shared" si="0"/>
        <v>875</v>
      </c>
      <c r="I4" t="s">
        <v>15</v>
      </c>
      <c r="J4">
        <v>4</v>
      </c>
      <c r="K4" t="str">
        <f>TEXT(B4,"mmm")</f>
        <v>Jan</v>
      </c>
    </row>
    <row r="5" spans="1:11">
      <c r="A5" t="s">
        <v>23</v>
      </c>
      <c r="B5" s="2">
        <v>46037</v>
      </c>
      <c r="C5" t="s">
        <v>24</v>
      </c>
      <c r="D5" t="s">
        <v>25</v>
      </c>
      <c r="E5" t="s">
        <v>26</v>
      </c>
      <c r="F5">
        <v>200</v>
      </c>
      <c r="G5">
        <v>4.25</v>
      </c>
      <c r="H5" s="3">
        <f t="shared" si="0"/>
        <v>850</v>
      </c>
      <c r="I5" t="s">
        <v>15</v>
      </c>
      <c r="J5">
        <v>6</v>
      </c>
      <c r="K5" t="str">
        <f>TEXT(B5,"mmm")</f>
        <v>Jan</v>
      </c>
    </row>
    <row r="6" spans="1:11">
      <c r="A6" t="s">
        <v>27</v>
      </c>
      <c r="B6" s="2">
        <v>46041</v>
      </c>
      <c r="C6" t="s">
        <v>12</v>
      </c>
      <c r="D6" t="s">
        <v>13</v>
      </c>
      <c r="E6" t="s">
        <v>28</v>
      </c>
      <c r="F6">
        <v>75</v>
      </c>
      <c r="G6">
        <v>24</v>
      </c>
      <c r="H6" s="3">
        <f t="shared" si="0"/>
        <v>1800</v>
      </c>
      <c r="I6" t="s">
        <v>15</v>
      </c>
      <c r="J6">
        <v>5</v>
      </c>
      <c r="K6" t="str">
        <f>TEXT(B6,"mmm")</f>
        <v>Jan</v>
      </c>
    </row>
    <row r="7" spans="1:11">
      <c r="A7" t="s">
        <v>29</v>
      </c>
      <c r="B7" s="2">
        <v>46045</v>
      </c>
      <c r="C7" t="s">
        <v>20</v>
      </c>
      <c r="D7" t="s">
        <v>30</v>
      </c>
      <c r="E7" t="s">
        <v>31</v>
      </c>
      <c r="F7">
        <v>30</v>
      </c>
      <c r="G7">
        <v>42.5</v>
      </c>
      <c r="H7" s="3">
        <f t="shared" si="0"/>
        <v>1275</v>
      </c>
      <c r="I7" t="s">
        <v>15</v>
      </c>
      <c r="J7">
        <v>8</v>
      </c>
      <c r="K7" t="str">
        <f>TEXT(B7,"mmm")</f>
        <v>Jan</v>
      </c>
    </row>
    <row r="8" spans="1:11">
      <c r="A8" t="s">
        <v>32</v>
      </c>
      <c r="B8" s="2">
        <v>46050</v>
      </c>
      <c r="C8" t="s">
        <v>17</v>
      </c>
      <c r="D8" t="s">
        <v>33</v>
      </c>
      <c r="E8" t="s">
        <v>34</v>
      </c>
      <c r="F8">
        <v>25</v>
      </c>
      <c r="G8">
        <v>38</v>
      </c>
      <c r="H8" s="3">
        <f t="shared" si="0"/>
        <v>950</v>
      </c>
      <c r="I8" t="s">
        <v>15</v>
      </c>
      <c r="J8">
        <v>6</v>
      </c>
      <c r="K8" t="str">
        <f>TEXT(B8,"mmm")</f>
        <v>Jan</v>
      </c>
    </row>
    <row r="9" spans="1:11">
      <c r="A9" t="s">
        <v>35</v>
      </c>
      <c r="B9" s="2">
        <v>46055</v>
      </c>
      <c r="C9" t="s">
        <v>24</v>
      </c>
      <c r="D9" t="s">
        <v>25</v>
      </c>
      <c r="E9" t="s">
        <v>36</v>
      </c>
      <c r="F9">
        <v>40</v>
      </c>
      <c r="G9">
        <v>32</v>
      </c>
      <c r="H9" s="3">
        <f t="shared" si="0"/>
        <v>1280</v>
      </c>
      <c r="I9" t="s">
        <v>15</v>
      </c>
      <c r="J9">
        <v>4</v>
      </c>
      <c r="K9" t="str">
        <f>TEXT(B9,"mmm")</f>
        <v>Feb</v>
      </c>
    </row>
    <row r="10" spans="1:11">
      <c r="A10" t="s">
        <v>37</v>
      </c>
      <c r="B10" s="2">
        <v>46060</v>
      </c>
      <c r="C10" t="s">
        <v>12</v>
      </c>
      <c r="D10" t="s">
        <v>21</v>
      </c>
      <c r="E10" t="s">
        <v>38</v>
      </c>
      <c r="F10">
        <v>150</v>
      </c>
      <c r="G10">
        <v>6.5</v>
      </c>
      <c r="H10" s="3">
        <f t="shared" si="0"/>
        <v>975</v>
      </c>
      <c r="I10" t="s">
        <v>15</v>
      </c>
      <c r="J10">
        <v>5</v>
      </c>
      <c r="K10" t="str">
        <f>TEXT(B10,"mmm")</f>
        <v>Feb</v>
      </c>
    </row>
    <row r="11" spans="1:11">
      <c r="A11" t="s">
        <v>39</v>
      </c>
      <c r="B11" s="2">
        <v>46064</v>
      </c>
      <c r="C11" t="s">
        <v>20</v>
      </c>
      <c r="D11" t="s">
        <v>30</v>
      </c>
      <c r="E11" t="s">
        <v>40</v>
      </c>
      <c r="F11">
        <v>8</v>
      </c>
      <c r="G11">
        <v>185</v>
      </c>
      <c r="H11" s="3">
        <f t="shared" si="0"/>
        <v>1480</v>
      </c>
      <c r="I11" t="s">
        <v>15</v>
      </c>
      <c r="J11">
        <v>9</v>
      </c>
      <c r="K11" t="str">
        <f>TEXT(B11,"mmm")</f>
        <v>Feb</v>
      </c>
    </row>
    <row r="12" spans="1:11">
      <c r="A12" t="s">
        <v>41</v>
      </c>
      <c r="B12" s="2">
        <v>46069</v>
      </c>
      <c r="C12" t="s">
        <v>17</v>
      </c>
      <c r="D12" t="s">
        <v>13</v>
      </c>
      <c r="E12" t="s">
        <v>42</v>
      </c>
      <c r="F12">
        <v>30</v>
      </c>
      <c r="G12">
        <v>18.5</v>
      </c>
      <c r="H12" s="3">
        <f t="shared" si="0"/>
        <v>555</v>
      </c>
      <c r="I12" t="s">
        <v>15</v>
      </c>
      <c r="J12">
        <v>6</v>
      </c>
      <c r="K12" t="str">
        <f>TEXT(B12,"mmm")</f>
        <v>Feb</v>
      </c>
    </row>
    <row r="13" spans="1:11">
      <c r="A13" t="s">
        <v>43</v>
      </c>
      <c r="B13" s="2">
        <v>46073</v>
      </c>
      <c r="C13" t="s">
        <v>24</v>
      </c>
      <c r="D13" t="s">
        <v>25</v>
      </c>
      <c r="E13" t="s">
        <v>44</v>
      </c>
      <c r="F13">
        <v>100</v>
      </c>
      <c r="G13">
        <v>7.25</v>
      </c>
      <c r="H13" s="3">
        <f t="shared" si="0"/>
        <v>725</v>
      </c>
      <c r="I13" t="s">
        <v>15</v>
      </c>
      <c r="J13">
        <v>3</v>
      </c>
      <c r="K13" t="str">
        <f>TEXT(B13,"mmm")</f>
        <v>Feb</v>
      </c>
    </row>
    <row r="14" spans="1:11">
      <c r="A14" t="s">
        <v>45</v>
      </c>
      <c r="B14" s="2">
        <v>46078</v>
      </c>
      <c r="C14" t="s">
        <v>12</v>
      </c>
      <c r="D14" t="s">
        <v>33</v>
      </c>
      <c r="E14" t="s">
        <v>46</v>
      </c>
      <c r="F14">
        <v>20</v>
      </c>
      <c r="G14">
        <v>29</v>
      </c>
      <c r="H14" s="3">
        <f t="shared" si="0"/>
        <v>580</v>
      </c>
      <c r="I14" t="s">
        <v>15</v>
      </c>
      <c r="J14">
        <v>5</v>
      </c>
      <c r="K14" t="str">
        <f>TEXT(B14,"mmm")</f>
        <v>Feb</v>
      </c>
    </row>
    <row r="15" spans="1:11">
      <c r="A15" t="s">
        <v>47</v>
      </c>
      <c r="B15" s="2">
        <v>46082</v>
      </c>
      <c r="C15" t="s">
        <v>20</v>
      </c>
      <c r="D15" t="s">
        <v>21</v>
      </c>
      <c r="E15" t="s">
        <v>48</v>
      </c>
      <c r="F15">
        <v>60</v>
      </c>
      <c r="G15">
        <v>22</v>
      </c>
      <c r="H15" s="3">
        <f t="shared" si="0"/>
        <v>1320</v>
      </c>
      <c r="I15" t="s">
        <v>15</v>
      </c>
      <c r="J15">
        <v>7</v>
      </c>
      <c r="K15" t="str">
        <f>TEXT(B15,"mmm")</f>
        <v>Mar</v>
      </c>
    </row>
    <row r="16" spans="1:11">
      <c r="A16" t="s">
        <v>49</v>
      </c>
      <c r="B16" s="2">
        <v>46087</v>
      </c>
      <c r="C16" t="s">
        <v>17</v>
      </c>
      <c r="D16" t="s">
        <v>33</v>
      </c>
      <c r="E16" t="s">
        <v>50</v>
      </c>
      <c r="F16">
        <v>10</v>
      </c>
      <c r="G16">
        <v>225</v>
      </c>
      <c r="H16" s="3">
        <f t="shared" si="0"/>
        <v>2250</v>
      </c>
      <c r="I16" t="s">
        <v>15</v>
      </c>
      <c r="J16">
        <v>8</v>
      </c>
      <c r="K16" t="str">
        <f>TEXT(B16,"mmm")</f>
        <v>Mar</v>
      </c>
    </row>
    <row r="17" spans="1:11">
      <c r="A17" t="s">
        <v>51</v>
      </c>
      <c r="B17" s="2">
        <v>46091</v>
      </c>
      <c r="C17" t="s">
        <v>24</v>
      </c>
      <c r="D17" t="s">
        <v>25</v>
      </c>
      <c r="E17" t="s">
        <v>52</v>
      </c>
      <c r="F17">
        <v>50</v>
      </c>
      <c r="G17">
        <v>28</v>
      </c>
      <c r="H17" s="3">
        <f t="shared" si="0"/>
        <v>1400</v>
      </c>
      <c r="I17" t="s">
        <v>15</v>
      </c>
      <c r="J17">
        <v>5</v>
      </c>
      <c r="K17" t="str">
        <f>TEXT(B17,"mmm")</f>
        <v>Mar</v>
      </c>
    </row>
    <row r="18" spans="1:11">
      <c r="A18" t="s">
        <v>53</v>
      </c>
      <c r="B18" s="2">
        <v>46096</v>
      </c>
      <c r="C18" t="s">
        <v>12</v>
      </c>
      <c r="D18" t="s">
        <v>13</v>
      </c>
      <c r="E18" t="s">
        <v>54</v>
      </c>
      <c r="F18">
        <v>100</v>
      </c>
      <c r="G18">
        <v>5.75</v>
      </c>
      <c r="H18" s="3">
        <f t="shared" si="0"/>
        <v>575</v>
      </c>
      <c r="I18" t="s">
        <v>15</v>
      </c>
      <c r="J18">
        <v>4</v>
      </c>
      <c r="K18" t="str">
        <f>TEXT(B18,"mmm")</f>
        <v>Mar</v>
      </c>
    </row>
    <row r="19" spans="1:11">
      <c r="A19" t="s">
        <v>55</v>
      </c>
      <c r="B19" s="2">
        <v>46100</v>
      </c>
      <c r="C19" t="s">
        <v>20</v>
      </c>
      <c r="D19" t="s">
        <v>30</v>
      </c>
      <c r="E19" t="s">
        <v>56</v>
      </c>
      <c r="F19">
        <v>40</v>
      </c>
      <c r="G19">
        <v>31.5</v>
      </c>
      <c r="H19" s="3">
        <f t="shared" si="0"/>
        <v>1260</v>
      </c>
      <c r="I19" t="s">
        <v>15</v>
      </c>
      <c r="J19">
        <v>10</v>
      </c>
      <c r="K19" t="str">
        <f>TEXT(B19,"mmm")</f>
        <v>Mar</v>
      </c>
    </row>
    <row r="20" spans="1:11">
      <c r="A20" t="s">
        <v>57</v>
      </c>
      <c r="B20" s="2">
        <v>46105</v>
      </c>
      <c r="C20" t="s">
        <v>17</v>
      </c>
      <c r="D20" t="s">
        <v>13</v>
      </c>
      <c r="E20" t="s">
        <v>58</v>
      </c>
      <c r="F20">
        <v>15</v>
      </c>
      <c r="G20">
        <v>92</v>
      </c>
      <c r="H20" s="3">
        <f t="shared" si="0"/>
        <v>1380</v>
      </c>
      <c r="I20" t="s">
        <v>59</v>
      </c>
      <c r="J20">
        <v>12</v>
      </c>
      <c r="K20" t="str">
        <f>TEXT(B20,"mmm")</f>
        <v>Mar</v>
      </c>
    </row>
    <row r="21" spans="1:11">
      <c r="A21" t="s">
        <v>60</v>
      </c>
      <c r="B21" s="2">
        <v>46110</v>
      </c>
      <c r="C21" t="s">
        <v>24</v>
      </c>
      <c r="D21" t="s">
        <v>25</v>
      </c>
      <c r="E21" t="s">
        <v>61</v>
      </c>
      <c r="F21">
        <v>75</v>
      </c>
      <c r="G21">
        <v>14.5</v>
      </c>
      <c r="H21" s="3">
        <f t="shared" si="0"/>
        <v>1087.5</v>
      </c>
      <c r="I21" t="s">
        <v>15</v>
      </c>
      <c r="J21">
        <v>6</v>
      </c>
      <c r="K21" t="str">
        <f>TEXT(B21,"mmm")</f>
        <v>Mar</v>
      </c>
    </row>
    <row r="22" spans="1:11">
      <c r="A22" t="s">
        <v>62</v>
      </c>
      <c r="B22" s="2">
        <v>46115</v>
      </c>
      <c r="C22" t="s">
        <v>12</v>
      </c>
      <c r="D22" t="s">
        <v>21</v>
      </c>
      <c r="E22" t="s">
        <v>63</v>
      </c>
      <c r="F22">
        <v>40</v>
      </c>
      <c r="G22">
        <v>18</v>
      </c>
      <c r="H22" s="3">
        <f t="shared" si="0"/>
        <v>720</v>
      </c>
      <c r="I22" t="s">
        <v>15</v>
      </c>
      <c r="J22">
        <v>5</v>
      </c>
      <c r="K22" t="str">
        <f>TEXT(B22,"mmm")</f>
        <v>Apr</v>
      </c>
    </row>
    <row r="23" spans="1:11">
      <c r="A23" t="s">
        <v>64</v>
      </c>
      <c r="B23" s="2">
        <v>46120</v>
      </c>
      <c r="C23" t="s">
        <v>20</v>
      </c>
      <c r="D23" t="s">
        <v>33</v>
      </c>
      <c r="E23" t="s">
        <v>65</v>
      </c>
      <c r="F23">
        <v>5</v>
      </c>
      <c r="G23">
        <v>850</v>
      </c>
      <c r="H23" s="3">
        <f t="shared" si="0"/>
        <v>4250</v>
      </c>
      <c r="I23" t="s">
        <v>15</v>
      </c>
      <c r="J23">
        <v>14</v>
      </c>
      <c r="K23" t="str">
        <f>TEXT(B23,"mmm")</f>
        <v>Apr</v>
      </c>
    </row>
    <row r="24" spans="1:11">
      <c r="A24" t="s">
        <v>66</v>
      </c>
      <c r="B24" s="2">
        <v>46124</v>
      </c>
      <c r="C24" t="s">
        <v>17</v>
      </c>
      <c r="D24" t="s">
        <v>13</v>
      </c>
      <c r="E24" t="s">
        <v>67</v>
      </c>
      <c r="F24">
        <v>25</v>
      </c>
      <c r="G24">
        <v>12.5</v>
      </c>
      <c r="H24" s="3">
        <f t="shared" si="0"/>
        <v>312.5</v>
      </c>
      <c r="I24" t="s">
        <v>15</v>
      </c>
      <c r="J24">
        <v>4</v>
      </c>
      <c r="K24" t="str">
        <f>TEXT(B24,"mmm")</f>
        <v>Apr</v>
      </c>
    </row>
    <row r="25" spans="1:11">
      <c r="A25" t="s">
        <v>68</v>
      </c>
      <c r="B25" s="2">
        <v>46129</v>
      </c>
      <c r="C25" t="s">
        <v>24</v>
      </c>
      <c r="D25" t="s">
        <v>25</v>
      </c>
      <c r="E25" t="s">
        <v>69</v>
      </c>
      <c r="F25">
        <v>60</v>
      </c>
      <c r="G25">
        <v>21</v>
      </c>
      <c r="H25" s="3">
        <f t="shared" si="0"/>
        <v>1260</v>
      </c>
      <c r="I25" t="s">
        <v>15</v>
      </c>
      <c r="J25">
        <v>7</v>
      </c>
      <c r="K25" t="str">
        <f>TEXT(B25,"mmm")</f>
        <v>Apr</v>
      </c>
    </row>
    <row r="26" spans="1:11">
      <c r="A26" t="s">
        <v>70</v>
      </c>
      <c r="B26" s="2">
        <v>46134</v>
      </c>
      <c r="C26" t="s">
        <v>12</v>
      </c>
      <c r="D26" t="s">
        <v>33</v>
      </c>
      <c r="E26" t="s">
        <v>71</v>
      </c>
      <c r="F26">
        <v>50</v>
      </c>
      <c r="G26">
        <v>11</v>
      </c>
      <c r="H26" s="3">
        <f t="shared" si="0"/>
        <v>550</v>
      </c>
      <c r="I26" t="s">
        <v>15</v>
      </c>
      <c r="J26">
        <v>3</v>
      </c>
      <c r="K26" t="str">
        <f>TEXT(B26,"mmm")</f>
        <v>Apr</v>
      </c>
    </row>
    <row r="27" spans="1:11">
      <c r="A27" t="s">
        <v>72</v>
      </c>
      <c r="B27" s="2">
        <v>46139</v>
      </c>
      <c r="C27" t="s">
        <v>20</v>
      </c>
      <c r="D27" t="s">
        <v>30</v>
      </c>
      <c r="E27" t="s">
        <v>73</v>
      </c>
      <c r="F27">
        <v>100</v>
      </c>
      <c r="G27">
        <v>9.5</v>
      </c>
      <c r="H27" s="3">
        <f t="shared" si="0"/>
        <v>950</v>
      </c>
      <c r="I27" t="s">
        <v>15</v>
      </c>
      <c r="J27">
        <v>8</v>
      </c>
      <c r="K27" t="str">
        <f>TEXT(B27,"mmm")</f>
        <v>Apr</v>
      </c>
    </row>
    <row r="28" spans="1:11">
      <c r="A28" t="s">
        <v>74</v>
      </c>
      <c r="B28" s="2">
        <v>46144</v>
      </c>
      <c r="C28" t="s">
        <v>17</v>
      </c>
      <c r="D28" t="s">
        <v>33</v>
      </c>
      <c r="E28" t="s">
        <v>75</v>
      </c>
      <c r="F28">
        <v>8</v>
      </c>
      <c r="G28">
        <v>175</v>
      </c>
      <c r="H28" s="3">
        <f t="shared" si="0"/>
        <v>1400</v>
      </c>
      <c r="I28" t="s">
        <v>59</v>
      </c>
      <c r="J28">
        <v>11</v>
      </c>
      <c r="K28" t="str">
        <f>TEXT(B28,"mmm")</f>
        <v>May</v>
      </c>
    </row>
    <row r="29" spans="1:11">
      <c r="A29" t="s">
        <v>76</v>
      </c>
      <c r="B29" s="2">
        <v>46149</v>
      </c>
      <c r="C29" t="s">
        <v>24</v>
      </c>
      <c r="D29" t="s">
        <v>25</v>
      </c>
      <c r="E29" t="s">
        <v>26</v>
      </c>
      <c r="F29">
        <v>150</v>
      </c>
      <c r="G29">
        <v>4.5</v>
      </c>
      <c r="H29" s="3">
        <f t="shared" si="0"/>
        <v>675</v>
      </c>
      <c r="I29" t="s">
        <v>15</v>
      </c>
      <c r="J29">
        <v>5</v>
      </c>
      <c r="K29" t="str">
        <f>TEXT(B29,"mmm")</f>
        <v>May</v>
      </c>
    </row>
    <row r="30" spans="1:11">
      <c r="A30" t="s">
        <v>77</v>
      </c>
      <c r="B30" s="2">
        <v>46154</v>
      </c>
      <c r="C30" t="s">
        <v>12</v>
      </c>
      <c r="D30" t="s">
        <v>13</v>
      </c>
      <c r="E30" t="s">
        <v>78</v>
      </c>
      <c r="F30">
        <v>40</v>
      </c>
      <c r="G30">
        <v>8.25</v>
      </c>
      <c r="H30" s="3">
        <f t="shared" si="0"/>
        <v>330</v>
      </c>
      <c r="I30" t="s">
        <v>15</v>
      </c>
      <c r="J30">
        <v>4</v>
      </c>
      <c r="K30" t="str">
        <f>TEXT(B30,"mmm")</f>
        <v>May</v>
      </c>
    </row>
    <row r="31" spans="1:11">
      <c r="A31" t="s">
        <v>79</v>
      </c>
      <c r="B31" s="2">
        <v>46160</v>
      </c>
      <c r="C31" t="s">
        <v>20</v>
      </c>
      <c r="D31" t="s">
        <v>21</v>
      </c>
      <c r="E31" t="s">
        <v>80</v>
      </c>
      <c r="F31">
        <v>20</v>
      </c>
      <c r="G31">
        <v>95</v>
      </c>
      <c r="H31" s="3">
        <f t="shared" si="0"/>
        <v>1900</v>
      </c>
      <c r="I31" t="s">
        <v>15</v>
      </c>
      <c r="J31">
        <v>9</v>
      </c>
      <c r="K31" t="str">
        <f>TEXT(B31,"mmm")</f>
        <v>May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B9FF2-A410-425E-BAF6-DE8EA5FC9498}">
  <dimension ref="A1:L13"/>
  <sheetViews>
    <sheetView tabSelected="1" workbookViewId="0">
      <selection activeCell="K7" sqref="K7"/>
    </sheetView>
  </sheetViews>
  <sheetFormatPr defaultRowHeight="15"/>
  <cols>
    <col min="1" max="1" width="19" customWidth="1"/>
    <col min="2" max="2" width="18.7109375" customWidth="1"/>
    <col min="3" max="3" width="6.28515625" customWidth="1"/>
    <col min="4" max="4" width="13.7109375" customWidth="1"/>
    <col min="5" max="5" width="14.140625" customWidth="1"/>
    <col min="6" max="6" width="18.7109375" customWidth="1"/>
    <col min="7" max="7" width="20.85546875" customWidth="1"/>
    <col min="8" max="8" width="16" customWidth="1"/>
    <col min="9" max="9" width="18.28515625" customWidth="1"/>
    <col min="10" max="10" width="17" customWidth="1"/>
    <col min="11" max="11" width="20.85546875" customWidth="1"/>
    <col min="12" max="12" width="12.5703125" customWidth="1"/>
    <col min="13" max="13" width="10.85546875" bestFit="1" customWidth="1"/>
    <col min="14" max="14" width="10.85546875" customWidth="1"/>
    <col min="15" max="21" width="10.85546875" bestFit="1" customWidth="1"/>
    <col min="22" max="22" width="11.85546875" bestFit="1" customWidth="1"/>
  </cols>
  <sheetData>
    <row r="1" spans="1:12" ht="23.25">
      <c r="A1" s="8" t="s">
        <v>81</v>
      </c>
      <c r="B1" s="8"/>
      <c r="C1" s="8"/>
      <c r="D1" s="8"/>
      <c r="E1" s="8"/>
      <c r="F1" s="8"/>
      <c r="G1" s="8"/>
      <c r="H1" s="8"/>
    </row>
    <row r="3" spans="1:12">
      <c r="A3" s="1" t="s">
        <v>7</v>
      </c>
      <c r="B3" s="6">
        <f>SUM(PurchaseOrders[Total Spend])</f>
        <v>36130</v>
      </c>
      <c r="D3" s="1" t="s">
        <v>82</v>
      </c>
      <c r="E3" s="5">
        <f>COUNTA(PurchaseOrders[PO number])</f>
        <v>30</v>
      </c>
      <c r="G3" s="1" t="s">
        <v>83</v>
      </c>
      <c r="H3" s="6">
        <f>AVERAGE(PurchaseOrders[Total Spend])</f>
        <v>1204.3333333333333</v>
      </c>
    </row>
    <row r="5" spans="1:12">
      <c r="A5" s="1" t="s">
        <v>84</v>
      </c>
      <c r="B5" s="5">
        <f>COUNTIF(PurchaseOrders[Status],"Pending")</f>
        <v>2</v>
      </c>
    </row>
    <row r="7" spans="1:12">
      <c r="A7" s="4" t="s">
        <v>2</v>
      </c>
      <c r="B7" t="s">
        <v>85</v>
      </c>
      <c r="E7" s="4" t="s">
        <v>3</v>
      </c>
      <c r="F7" t="s">
        <v>85</v>
      </c>
      <c r="H7" s="4" t="s">
        <v>86</v>
      </c>
      <c r="I7" t="s">
        <v>85</v>
      </c>
      <c r="K7" s="7" t="s">
        <v>87</v>
      </c>
      <c r="L7">
        <f>AVERAGE(PurchaseOrders[Delivery Days])</f>
        <v>6.5</v>
      </c>
    </row>
    <row r="8" spans="1:12">
      <c r="A8" t="s">
        <v>20</v>
      </c>
      <c r="B8" s="3">
        <v>13310</v>
      </c>
      <c r="E8" t="s">
        <v>30</v>
      </c>
      <c r="F8" s="3">
        <v>4965</v>
      </c>
      <c r="H8" t="s">
        <v>88</v>
      </c>
      <c r="I8" s="3">
        <v>8915</v>
      </c>
    </row>
    <row r="9" spans="1:12">
      <c r="A9" t="s">
        <v>17</v>
      </c>
      <c r="B9" s="3">
        <v>8587.5</v>
      </c>
      <c r="E9" t="s">
        <v>13</v>
      </c>
      <c r="F9" s="3">
        <v>8117.5</v>
      </c>
      <c r="H9" t="s">
        <v>89</v>
      </c>
      <c r="I9" s="3">
        <v>5595</v>
      </c>
    </row>
    <row r="10" spans="1:12">
      <c r="A10" t="s">
        <v>24</v>
      </c>
      <c r="B10" s="3">
        <v>7277.5</v>
      </c>
      <c r="E10" t="s">
        <v>25</v>
      </c>
      <c r="F10" s="3">
        <v>7277.5</v>
      </c>
      <c r="H10" t="s">
        <v>90</v>
      </c>
      <c r="I10" s="3">
        <v>9272.5</v>
      </c>
    </row>
    <row r="11" spans="1:12">
      <c r="A11" t="s">
        <v>12</v>
      </c>
      <c r="B11" s="3">
        <v>6955</v>
      </c>
      <c r="E11" t="s">
        <v>21</v>
      </c>
      <c r="F11" s="3">
        <v>5790</v>
      </c>
      <c r="H11" t="s">
        <v>91</v>
      </c>
      <c r="I11" s="3">
        <v>8042.5</v>
      </c>
    </row>
    <row r="12" spans="1:12">
      <c r="A12" t="s">
        <v>92</v>
      </c>
      <c r="B12" s="3">
        <v>36130</v>
      </c>
      <c r="E12" t="s">
        <v>33</v>
      </c>
      <c r="F12" s="3">
        <v>9980</v>
      </c>
      <c r="H12" t="s">
        <v>93</v>
      </c>
      <c r="I12" s="3">
        <v>4305</v>
      </c>
    </row>
    <row r="13" spans="1:12">
      <c r="E13" t="s">
        <v>92</v>
      </c>
      <c r="F13" s="3">
        <v>36130</v>
      </c>
      <c r="H13" t="s">
        <v>92</v>
      </c>
      <c r="I13" s="3">
        <v>36130</v>
      </c>
    </row>
  </sheetData>
  <mergeCells count="1">
    <mergeCell ref="A1:H1"/>
  </mergeCells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2026-08-28T17:49:13Z</dcterms:created>
  <dcterms:modified xsi:type="dcterms:W3CDTF">2026-09-03T23:36:02Z</dcterms:modified>
  <cp:category/>
  <cp:contentStatus/>
</cp:coreProperties>
</file>